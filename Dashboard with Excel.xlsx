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MITS\Downloads\"/>
    </mc:Choice>
  </mc:AlternateContent>
  <xr:revisionPtr revIDLastSave="0" documentId="13_ncr:1_{AB4FF2EC-DB02-4CE7-BF0D-EE6158940D91}" xr6:coauthVersionLast="47" xr6:coauthVersionMax="47" xr10:uidLastSave="{00000000-0000-0000-0000-000000000000}"/>
  <bookViews>
    <workbookView xWindow="-120" yWindow="-120" windowWidth="29040" windowHeight="15720" activeTab="1" xr2:uid="{220135AA-0FB3-4A1D-91BD-B854938FF7F5}"/>
  </bookViews>
  <sheets>
    <sheet name="Sheet2" sheetId="2" r:id="rId1"/>
    <sheet name="Sheet3" sheetId="3" r:id="rId2"/>
    <sheet name="Sheet1" sheetId="1" r:id="rId3"/>
  </sheets>
  <definedNames>
    <definedName name="Slicer_Category">#N/A</definedName>
    <definedName name="Slicer_Product">#N/A</definedName>
    <definedName name="Slicer_Quantity">#N/A</definedName>
    <definedName name="Slicer_Region">#N/A</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6" i="1" l="1"/>
  <c r="H3" i="1"/>
  <c r="H4" i="1"/>
  <c r="H5" i="1"/>
  <c r="H6" i="1"/>
  <c r="H7" i="1"/>
  <c r="H8" i="1"/>
  <c r="H9" i="1"/>
  <c r="H10" i="1"/>
  <c r="H11" i="1"/>
  <c r="H12" i="1"/>
  <c r="H13" i="1"/>
  <c r="H14" i="1"/>
  <c r="H2" i="1"/>
  <c r="H15" i="1" s="1"/>
  <c r="A2" i="1"/>
  <c r="H17" i="1" l="1"/>
</calcChain>
</file>

<file path=xl/sharedStrings.xml><?xml version="1.0" encoding="utf-8"?>
<sst xmlns="http://schemas.openxmlformats.org/spreadsheetml/2006/main" count="101" uniqueCount="45">
  <si>
    <t xml:space="preserve"> </t>
  </si>
  <si>
    <t>Date</t>
  </si>
  <si>
    <t>Customer</t>
  </si>
  <si>
    <t>Product</t>
  </si>
  <si>
    <t>Category</t>
  </si>
  <si>
    <t>Quantity</t>
  </si>
  <si>
    <t>Price</t>
  </si>
  <si>
    <t>Region</t>
  </si>
  <si>
    <t>Shalini</t>
  </si>
  <si>
    <t>Ravi</t>
  </si>
  <si>
    <t>Joy</t>
  </si>
  <si>
    <t>Reena</t>
  </si>
  <si>
    <t>Priya</t>
  </si>
  <si>
    <t>Kiran</t>
  </si>
  <si>
    <t>Anu</t>
  </si>
  <si>
    <t>Arun</t>
  </si>
  <si>
    <t>Sita</t>
  </si>
  <si>
    <t>Ram</t>
  </si>
  <si>
    <t>Akhil</t>
  </si>
  <si>
    <t>Keerthi</t>
  </si>
  <si>
    <t>Naveen</t>
  </si>
  <si>
    <t>Laptop</t>
  </si>
  <si>
    <t>Mouse</t>
  </si>
  <si>
    <t>Charger</t>
  </si>
  <si>
    <t>Mobile</t>
  </si>
  <si>
    <t>Smart Watch</t>
  </si>
  <si>
    <t>Keyboard</t>
  </si>
  <si>
    <t>Earbuds</t>
  </si>
  <si>
    <t>Tablet</t>
  </si>
  <si>
    <t>Electronics</t>
  </si>
  <si>
    <t>Accessories</t>
  </si>
  <si>
    <t>Hyderabad</t>
  </si>
  <si>
    <t>Tirupathi</t>
  </si>
  <si>
    <t>Kurnool</t>
  </si>
  <si>
    <t>Madanapalle</t>
  </si>
  <si>
    <t>Vizag</t>
  </si>
  <si>
    <t>Sales</t>
  </si>
  <si>
    <t>Row Labels</t>
  </si>
  <si>
    <t>Grand Total</t>
  </si>
  <si>
    <t>Sum of Sales</t>
  </si>
  <si>
    <t>Total Sales</t>
  </si>
  <si>
    <t>Total orders</t>
  </si>
  <si>
    <t>Highest Sale</t>
  </si>
  <si>
    <t>Sales Data</t>
  </si>
  <si>
    <t>Sum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</si>
</sst>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NumberFormat="1"/>
  </cellXfs>
  <cellStyles count="1">
    <cellStyle name="Normal" xfId="0" builtinId="0"/>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with Excel.xlsx]Sheet2!PivotTable2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Hyderabad</c:v>
                </c:pt>
                <c:pt idx="1">
                  <c:v>Kurnool</c:v>
                </c:pt>
                <c:pt idx="2">
                  <c:v>Madanapalle</c:v>
                </c:pt>
                <c:pt idx="3">
                  <c:v>Tirupathi</c:v>
                </c:pt>
                <c:pt idx="4">
                  <c:v>Vizag</c:v>
                </c:pt>
              </c:strCache>
            </c:strRef>
          </c:cat>
          <c:val>
            <c:numRef>
              <c:f>Sheet2!$B$4:$B$9</c:f>
              <c:numCache>
                <c:formatCode>General</c:formatCode>
                <c:ptCount val="5"/>
                <c:pt idx="0">
                  <c:v>53720</c:v>
                </c:pt>
                <c:pt idx="1">
                  <c:v>77020</c:v>
                </c:pt>
                <c:pt idx="2">
                  <c:v>200000</c:v>
                </c:pt>
                <c:pt idx="3">
                  <c:v>2400</c:v>
                </c:pt>
                <c:pt idx="4">
                  <c:v>105000</c:v>
                </c:pt>
              </c:numCache>
            </c:numRef>
          </c:val>
          <c:extLst>
            <c:ext xmlns:c16="http://schemas.microsoft.com/office/drawing/2014/chart" uri="{C3380CC4-5D6E-409C-BE32-E72D297353CC}">
              <c16:uniqueId val="{00000000-103E-44A2-9C55-87552F923D3F}"/>
            </c:ext>
          </c:extLst>
        </c:ser>
        <c:dLbls>
          <c:showLegendKey val="0"/>
          <c:showVal val="0"/>
          <c:showCatName val="0"/>
          <c:showSerName val="0"/>
          <c:showPercent val="0"/>
          <c:showBubbleSize val="0"/>
        </c:dLbls>
        <c:gapWidth val="219"/>
        <c:overlap val="-27"/>
        <c:axId val="648444384"/>
        <c:axId val="719533104"/>
      </c:barChart>
      <c:catAx>
        <c:axId val="64844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533104"/>
        <c:crosses val="autoZero"/>
        <c:auto val="1"/>
        <c:lblAlgn val="ctr"/>
        <c:lblOffset val="100"/>
        <c:noMultiLvlLbl val="0"/>
      </c:catAx>
      <c:valAx>
        <c:axId val="719533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44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with Excel.xlsx]Sheet2!PivotTable3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Sheet2!$B$15</c:f>
              <c:strCache>
                <c:ptCount val="1"/>
                <c:pt idx="0">
                  <c:v>Total</c:v>
                </c:pt>
              </c:strCache>
            </c:strRef>
          </c:tx>
          <c:spPr>
            <a:solidFill>
              <a:schemeClr val="accent1"/>
            </a:solidFill>
            <a:ln>
              <a:noFill/>
            </a:ln>
            <a:effectLst/>
          </c:spPr>
          <c:invertIfNegative val="0"/>
          <c:cat>
            <c:strRef>
              <c:f>Sheet2!$A$16:$A$24</c:f>
              <c:strCache>
                <c:ptCount val="8"/>
                <c:pt idx="0">
                  <c:v>Charger</c:v>
                </c:pt>
                <c:pt idx="1">
                  <c:v>Earbuds</c:v>
                </c:pt>
                <c:pt idx="2">
                  <c:v>Keyboard</c:v>
                </c:pt>
                <c:pt idx="3">
                  <c:v>Laptop</c:v>
                </c:pt>
                <c:pt idx="4">
                  <c:v>Mobile</c:v>
                </c:pt>
                <c:pt idx="5">
                  <c:v>Mouse</c:v>
                </c:pt>
                <c:pt idx="6">
                  <c:v>Smart Watch</c:v>
                </c:pt>
                <c:pt idx="7">
                  <c:v>Tablet</c:v>
                </c:pt>
              </c:strCache>
            </c:strRef>
          </c:cat>
          <c:val>
            <c:numRef>
              <c:f>Sheet2!$B$16:$B$24</c:f>
              <c:numCache>
                <c:formatCode>General</c:formatCode>
                <c:ptCount val="8"/>
                <c:pt idx="0">
                  <c:v>2070</c:v>
                </c:pt>
                <c:pt idx="1">
                  <c:v>1000</c:v>
                </c:pt>
                <c:pt idx="2">
                  <c:v>3000</c:v>
                </c:pt>
                <c:pt idx="3">
                  <c:v>255000</c:v>
                </c:pt>
                <c:pt idx="4">
                  <c:v>70000</c:v>
                </c:pt>
                <c:pt idx="5">
                  <c:v>2070</c:v>
                </c:pt>
                <c:pt idx="6">
                  <c:v>15000</c:v>
                </c:pt>
                <c:pt idx="7">
                  <c:v>90000</c:v>
                </c:pt>
              </c:numCache>
            </c:numRef>
          </c:val>
          <c:extLst>
            <c:ext xmlns:c16="http://schemas.microsoft.com/office/drawing/2014/chart" uri="{C3380CC4-5D6E-409C-BE32-E72D297353CC}">
              <c16:uniqueId val="{00000000-186F-4D41-974F-EBB247B7CC67}"/>
            </c:ext>
          </c:extLst>
        </c:ser>
        <c:dLbls>
          <c:showLegendKey val="0"/>
          <c:showVal val="0"/>
          <c:showCatName val="0"/>
          <c:showSerName val="0"/>
          <c:showPercent val="0"/>
          <c:showBubbleSize val="0"/>
        </c:dLbls>
        <c:gapWidth val="182"/>
        <c:axId val="725680160"/>
        <c:axId val="649916848"/>
      </c:barChart>
      <c:catAx>
        <c:axId val="725680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916848"/>
        <c:crosses val="autoZero"/>
        <c:auto val="1"/>
        <c:lblAlgn val="ctr"/>
        <c:lblOffset val="100"/>
        <c:noMultiLvlLbl val="0"/>
      </c:catAx>
      <c:valAx>
        <c:axId val="649916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68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with Excel.xlsx]Sheet2!PivotTable4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Sheet2!$P$3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10-438E-97BF-107C4E9E30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10-438E-97BF-107C4E9E308B}"/>
              </c:ext>
            </c:extLst>
          </c:dPt>
          <c:cat>
            <c:strRef>
              <c:f>Sheet2!$O$4:$O$6</c:f>
              <c:strCache>
                <c:ptCount val="2"/>
                <c:pt idx="0">
                  <c:v>Accessories</c:v>
                </c:pt>
                <c:pt idx="1">
                  <c:v>Electronics</c:v>
                </c:pt>
              </c:strCache>
            </c:strRef>
          </c:cat>
          <c:val>
            <c:numRef>
              <c:f>Sheet2!$P$4:$P$6</c:f>
              <c:numCache>
                <c:formatCode>General</c:formatCode>
                <c:ptCount val="2"/>
                <c:pt idx="0">
                  <c:v>8140</c:v>
                </c:pt>
                <c:pt idx="1">
                  <c:v>430000</c:v>
                </c:pt>
              </c:numCache>
            </c:numRef>
          </c:val>
          <c:extLst>
            <c:ext xmlns:c16="http://schemas.microsoft.com/office/drawing/2014/chart" uri="{C3380CC4-5D6E-409C-BE32-E72D297353CC}">
              <c16:uniqueId val="{00000000-9352-4942-921D-7D241D3B091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with Excel.xlsx]Sheet2!PivotTable1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Sheet2!$T$5</c:f>
              <c:strCache>
                <c:ptCount val="1"/>
                <c:pt idx="0">
                  <c:v>Sum of Price</c:v>
                </c:pt>
              </c:strCache>
            </c:strRef>
          </c:tx>
          <c:spPr>
            <a:solidFill>
              <a:schemeClr val="accent1"/>
            </a:solidFill>
            <a:ln>
              <a:noFill/>
            </a:ln>
            <a:effectLst/>
          </c:spPr>
          <c:cat>
            <c:strRef>
              <c:f>Sheet2!$S$6:$S$14</c:f>
              <c:strCache>
                <c:ptCount val="8"/>
                <c:pt idx="0">
                  <c:v>Charger</c:v>
                </c:pt>
                <c:pt idx="1">
                  <c:v>Earbuds</c:v>
                </c:pt>
                <c:pt idx="2">
                  <c:v>Keyboard</c:v>
                </c:pt>
                <c:pt idx="3">
                  <c:v>Laptop</c:v>
                </c:pt>
                <c:pt idx="4">
                  <c:v>Mobile</c:v>
                </c:pt>
                <c:pt idx="5">
                  <c:v>Mouse</c:v>
                </c:pt>
                <c:pt idx="6">
                  <c:v>Smart Watch</c:v>
                </c:pt>
                <c:pt idx="7">
                  <c:v>Tablet</c:v>
                </c:pt>
              </c:strCache>
            </c:strRef>
          </c:cat>
          <c:val>
            <c:numRef>
              <c:f>Sheet2!$T$6:$T$14</c:f>
              <c:numCache>
                <c:formatCode>General</c:formatCode>
                <c:ptCount val="8"/>
                <c:pt idx="0">
                  <c:v>810</c:v>
                </c:pt>
                <c:pt idx="1">
                  <c:v>500</c:v>
                </c:pt>
                <c:pt idx="2">
                  <c:v>1500</c:v>
                </c:pt>
                <c:pt idx="3">
                  <c:v>190000</c:v>
                </c:pt>
                <c:pt idx="4">
                  <c:v>70000</c:v>
                </c:pt>
                <c:pt idx="5">
                  <c:v>1370</c:v>
                </c:pt>
                <c:pt idx="6">
                  <c:v>5000</c:v>
                </c:pt>
                <c:pt idx="7">
                  <c:v>30000</c:v>
                </c:pt>
              </c:numCache>
            </c:numRef>
          </c:val>
          <c:extLst>
            <c:ext xmlns:c16="http://schemas.microsoft.com/office/drawing/2014/chart" uri="{C3380CC4-5D6E-409C-BE32-E72D297353CC}">
              <c16:uniqueId val="{00000000-12A3-42BE-8135-7980DB42049E}"/>
            </c:ext>
          </c:extLst>
        </c:ser>
        <c:ser>
          <c:idx val="1"/>
          <c:order val="1"/>
          <c:tx>
            <c:strRef>
              <c:f>Sheet2!$U$5</c:f>
              <c:strCache>
                <c:ptCount val="1"/>
                <c:pt idx="0">
                  <c:v>Sum of Sales</c:v>
                </c:pt>
              </c:strCache>
            </c:strRef>
          </c:tx>
          <c:spPr>
            <a:solidFill>
              <a:schemeClr val="accent2"/>
            </a:solidFill>
            <a:ln>
              <a:noFill/>
            </a:ln>
            <a:effectLst/>
          </c:spPr>
          <c:cat>
            <c:strRef>
              <c:f>Sheet2!$S$6:$S$14</c:f>
              <c:strCache>
                <c:ptCount val="8"/>
                <c:pt idx="0">
                  <c:v>Charger</c:v>
                </c:pt>
                <c:pt idx="1">
                  <c:v>Earbuds</c:v>
                </c:pt>
                <c:pt idx="2">
                  <c:v>Keyboard</c:v>
                </c:pt>
                <c:pt idx="3">
                  <c:v>Laptop</c:v>
                </c:pt>
                <c:pt idx="4">
                  <c:v>Mobile</c:v>
                </c:pt>
                <c:pt idx="5">
                  <c:v>Mouse</c:v>
                </c:pt>
                <c:pt idx="6">
                  <c:v>Smart Watch</c:v>
                </c:pt>
                <c:pt idx="7">
                  <c:v>Tablet</c:v>
                </c:pt>
              </c:strCache>
            </c:strRef>
          </c:cat>
          <c:val>
            <c:numRef>
              <c:f>Sheet2!$U$6:$U$14</c:f>
              <c:numCache>
                <c:formatCode>General</c:formatCode>
                <c:ptCount val="8"/>
                <c:pt idx="0">
                  <c:v>2070</c:v>
                </c:pt>
                <c:pt idx="1">
                  <c:v>1000</c:v>
                </c:pt>
                <c:pt idx="2">
                  <c:v>3000</c:v>
                </c:pt>
                <c:pt idx="3">
                  <c:v>255000</c:v>
                </c:pt>
                <c:pt idx="4">
                  <c:v>70000</c:v>
                </c:pt>
                <c:pt idx="5">
                  <c:v>2070</c:v>
                </c:pt>
                <c:pt idx="6">
                  <c:v>15000</c:v>
                </c:pt>
                <c:pt idx="7">
                  <c:v>90000</c:v>
                </c:pt>
              </c:numCache>
            </c:numRef>
          </c:val>
          <c:extLst>
            <c:ext xmlns:c16="http://schemas.microsoft.com/office/drawing/2014/chart" uri="{C3380CC4-5D6E-409C-BE32-E72D297353CC}">
              <c16:uniqueId val="{00000001-12A3-42BE-8135-7980DB42049E}"/>
            </c:ext>
          </c:extLst>
        </c:ser>
        <c:dLbls>
          <c:showLegendKey val="0"/>
          <c:showVal val="0"/>
          <c:showCatName val="0"/>
          <c:showSerName val="0"/>
          <c:showPercent val="0"/>
          <c:showBubbleSize val="0"/>
        </c:dLbls>
        <c:axId val="1628410719"/>
        <c:axId val="1626398255"/>
      </c:areaChart>
      <c:catAx>
        <c:axId val="1628410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398255"/>
        <c:crosses val="autoZero"/>
        <c:auto val="1"/>
        <c:lblAlgn val="ctr"/>
        <c:lblOffset val="100"/>
        <c:noMultiLvlLbl val="0"/>
      </c:catAx>
      <c:valAx>
        <c:axId val="1626398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4107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with Excel.xlsx]Sheet2!PivotTable2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Hyderabad</c:v>
                </c:pt>
                <c:pt idx="1">
                  <c:v>Kurnool</c:v>
                </c:pt>
                <c:pt idx="2">
                  <c:v>Madanapalle</c:v>
                </c:pt>
                <c:pt idx="3">
                  <c:v>Tirupathi</c:v>
                </c:pt>
                <c:pt idx="4">
                  <c:v>Vizag</c:v>
                </c:pt>
              </c:strCache>
            </c:strRef>
          </c:cat>
          <c:val>
            <c:numRef>
              <c:f>Sheet2!$B$4:$B$9</c:f>
              <c:numCache>
                <c:formatCode>General</c:formatCode>
                <c:ptCount val="5"/>
                <c:pt idx="0">
                  <c:v>53720</c:v>
                </c:pt>
                <c:pt idx="1">
                  <c:v>77020</c:v>
                </c:pt>
                <c:pt idx="2">
                  <c:v>200000</c:v>
                </c:pt>
                <c:pt idx="3">
                  <c:v>2400</c:v>
                </c:pt>
                <c:pt idx="4">
                  <c:v>105000</c:v>
                </c:pt>
              </c:numCache>
            </c:numRef>
          </c:val>
          <c:extLst>
            <c:ext xmlns:c16="http://schemas.microsoft.com/office/drawing/2014/chart" uri="{C3380CC4-5D6E-409C-BE32-E72D297353CC}">
              <c16:uniqueId val="{00000000-BB1C-4E72-BBA5-91754209982D}"/>
            </c:ext>
          </c:extLst>
        </c:ser>
        <c:dLbls>
          <c:showLegendKey val="0"/>
          <c:showVal val="0"/>
          <c:showCatName val="0"/>
          <c:showSerName val="0"/>
          <c:showPercent val="0"/>
          <c:showBubbleSize val="0"/>
        </c:dLbls>
        <c:gapWidth val="219"/>
        <c:overlap val="-27"/>
        <c:axId val="648444384"/>
        <c:axId val="719533104"/>
      </c:barChart>
      <c:catAx>
        <c:axId val="64844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533104"/>
        <c:crosses val="autoZero"/>
        <c:auto val="1"/>
        <c:lblAlgn val="ctr"/>
        <c:lblOffset val="100"/>
        <c:noMultiLvlLbl val="0"/>
      </c:catAx>
      <c:valAx>
        <c:axId val="719533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44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63500">
        <a:schemeClr val="accent5">
          <a:satMod val="175000"/>
          <a:alpha val="40000"/>
        </a:schemeClr>
      </a:glow>
      <a:outerShdw blurRad="342900" dist="152400" dir="8100000" sx="96000" sy="96000" algn="tr" rotWithShape="0">
        <a:prstClr val="black">
          <a:alpha val="75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with Excel.xlsx]Sheet2!PivotTable3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Sheet2!$B$15</c:f>
              <c:strCache>
                <c:ptCount val="1"/>
                <c:pt idx="0">
                  <c:v>Total</c:v>
                </c:pt>
              </c:strCache>
            </c:strRef>
          </c:tx>
          <c:spPr>
            <a:solidFill>
              <a:schemeClr val="accent1"/>
            </a:solidFill>
            <a:ln>
              <a:noFill/>
            </a:ln>
            <a:effectLst/>
          </c:spPr>
          <c:invertIfNegative val="0"/>
          <c:cat>
            <c:strRef>
              <c:f>Sheet2!$A$16:$A$24</c:f>
              <c:strCache>
                <c:ptCount val="8"/>
                <c:pt idx="0">
                  <c:v>Charger</c:v>
                </c:pt>
                <c:pt idx="1">
                  <c:v>Earbuds</c:v>
                </c:pt>
                <c:pt idx="2">
                  <c:v>Keyboard</c:v>
                </c:pt>
                <c:pt idx="3">
                  <c:v>Laptop</c:v>
                </c:pt>
                <c:pt idx="4">
                  <c:v>Mobile</c:v>
                </c:pt>
                <c:pt idx="5">
                  <c:v>Mouse</c:v>
                </c:pt>
                <c:pt idx="6">
                  <c:v>Smart Watch</c:v>
                </c:pt>
                <c:pt idx="7">
                  <c:v>Tablet</c:v>
                </c:pt>
              </c:strCache>
            </c:strRef>
          </c:cat>
          <c:val>
            <c:numRef>
              <c:f>Sheet2!$B$16:$B$24</c:f>
              <c:numCache>
                <c:formatCode>General</c:formatCode>
                <c:ptCount val="8"/>
                <c:pt idx="0">
                  <c:v>2070</c:v>
                </c:pt>
                <c:pt idx="1">
                  <c:v>1000</c:v>
                </c:pt>
                <c:pt idx="2">
                  <c:v>3000</c:v>
                </c:pt>
                <c:pt idx="3">
                  <c:v>255000</c:v>
                </c:pt>
                <c:pt idx="4">
                  <c:v>70000</c:v>
                </c:pt>
                <c:pt idx="5">
                  <c:v>2070</c:v>
                </c:pt>
                <c:pt idx="6">
                  <c:v>15000</c:v>
                </c:pt>
                <c:pt idx="7">
                  <c:v>90000</c:v>
                </c:pt>
              </c:numCache>
            </c:numRef>
          </c:val>
          <c:extLst>
            <c:ext xmlns:c16="http://schemas.microsoft.com/office/drawing/2014/chart" uri="{C3380CC4-5D6E-409C-BE32-E72D297353CC}">
              <c16:uniqueId val="{00000000-2108-4108-8839-29D3FC2CAFF8}"/>
            </c:ext>
          </c:extLst>
        </c:ser>
        <c:dLbls>
          <c:showLegendKey val="0"/>
          <c:showVal val="0"/>
          <c:showCatName val="0"/>
          <c:showSerName val="0"/>
          <c:showPercent val="0"/>
          <c:showBubbleSize val="0"/>
        </c:dLbls>
        <c:gapWidth val="182"/>
        <c:axId val="725680160"/>
        <c:axId val="649916848"/>
      </c:barChart>
      <c:catAx>
        <c:axId val="725680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916848"/>
        <c:crosses val="autoZero"/>
        <c:auto val="1"/>
        <c:lblAlgn val="ctr"/>
        <c:lblOffset val="100"/>
        <c:noMultiLvlLbl val="0"/>
      </c:catAx>
      <c:valAx>
        <c:axId val="649916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68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203200" dist="38100" dir="2700000" sx="88000" sy="88000" algn="tl" rotWithShape="0">
        <a:prstClr val="black">
          <a:alpha val="73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with Excel.xlsx]Sheet2!PivotTable4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Sheet2!$P$3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7E-435B-9D47-47CEA12CF8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7E-435B-9D47-47CEA12CF841}"/>
              </c:ext>
            </c:extLst>
          </c:dPt>
          <c:cat>
            <c:strRef>
              <c:f>Sheet2!$O$4:$O$6</c:f>
              <c:strCache>
                <c:ptCount val="2"/>
                <c:pt idx="0">
                  <c:v>Accessories</c:v>
                </c:pt>
                <c:pt idx="1">
                  <c:v>Electronics</c:v>
                </c:pt>
              </c:strCache>
            </c:strRef>
          </c:cat>
          <c:val>
            <c:numRef>
              <c:f>Sheet2!$P$4:$P$6</c:f>
              <c:numCache>
                <c:formatCode>General</c:formatCode>
                <c:ptCount val="2"/>
                <c:pt idx="0">
                  <c:v>8140</c:v>
                </c:pt>
                <c:pt idx="1">
                  <c:v>430000</c:v>
                </c:pt>
              </c:numCache>
            </c:numRef>
          </c:val>
          <c:extLst>
            <c:ext xmlns:c16="http://schemas.microsoft.com/office/drawing/2014/chart" uri="{C3380CC4-5D6E-409C-BE32-E72D297353CC}">
              <c16:uniqueId val="{00000004-057E-435B-9D47-47CEA12CF84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90500">
        <a:schemeClr val="accent1">
          <a:alpha val="40000"/>
        </a:schemeClr>
      </a:glow>
      <a:outerShdw blurRad="444500" dist="241300" dir="5400000" sx="99000" sy="99000" algn="t" rotWithShape="0">
        <a:prstClr val="black">
          <a:alpha val="41000"/>
        </a:prstClr>
      </a:outerShdw>
      <a:softEdge rad="2286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with Excel.xlsx]Sheet2!PivotTable1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Sheet2!$T$5</c:f>
              <c:strCache>
                <c:ptCount val="1"/>
                <c:pt idx="0">
                  <c:v>Sum of Price</c:v>
                </c:pt>
              </c:strCache>
            </c:strRef>
          </c:tx>
          <c:spPr>
            <a:solidFill>
              <a:schemeClr val="accent1"/>
            </a:solidFill>
            <a:ln>
              <a:noFill/>
            </a:ln>
            <a:effectLst/>
          </c:spPr>
          <c:cat>
            <c:strRef>
              <c:f>Sheet2!$S$6:$S$14</c:f>
              <c:strCache>
                <c:ptCount val="8"/>
                <c:pt idx="0">
                  <c:v>Charger</c:v>
                </c:pt>
                <c:pt idx="1">
                  <c:v>Earbuds</c:v>
                </c:pt>
                <c:pt idx="2">
                  <c:v>Keyboard</c:v>
                </c:pt>
                <c:pt idx="3">
                  <c:v>Laptop</c:v>
                </c:pt>
                <c:pt idx="4">
                  <c:v>Mobile</c:v>
                </c:pt>
                <c:pt idx="5">
                  <c:v>Mouse</c:v>
                </c:pt>
                <c:pt idx="6">
                  <c:v>Smart Watch</c:v>
                </c:pt>
                <c:pt idx="7">
                  <c:v>Tablet</c:v>
                </c:pt>
              </c:strCache>
            </c:strRef>
          </c:cat>
          <c:val>
            <c:numRef>
              <c:f>Sheet2!$T$6:$T$14</c:f>
              <c:numCache>
                <c:formatCode>General</c:formatCode>
                <c:ptCount val="8"/>
                <c:pt idx="0">
                  <c:v>810</c:v>
                </c:pt>
                <c:pt idx="1">
                  <c:v>500</c:v>
                </c:pt>
                <c:pt idx="2">
                  <c:v>1500</c:v>
                </c:pt>
                <c:pt idx="3">
                  <c:v>190000</c:v>
                </c:pt>
                <c:pt idx="4">
                  <c:v>70000</c:v>
                </c:pt>
                <c:pt idx="5">
                  <c:v>1370</c:v>
                </c:pt>
                <c:pt idx="6">
                  <c:v>5000</c:v>
                </c:pt>
                <c:pt idx="7">
                  <c:v>30000</c:v>
                </c:pt>
              </c:numCache>
            </c:numRef>
          </c:val>
          <c:extLst>
            <c:ext xmlns:c16="http://schemas.microsoft.com/office/drawing/2014/chart" uri="{C3380CC4-5D6E-409C-BE32-E72D297353CC}">
              <c16:uniqueId val="{00000000-44F6-4806-BC23-A83AD11946F5}"/>
            </c:ext>
          </c:extLst>
        </c:ser>
        <c:ser>
          <c:idx val="1"/>
          <c:order val="1"/>
          <c:tx>
            <c:strRef>
              <c:f>Sheet2!$U$5</c:f>
              <c:strCache>
                <c:ptCount val="1"/>
                <c:pt idx="0">
                  <c:v>Sum of Sales</c:v>
                </c:pt>
              </c:strCache>
            </c:strRef>
          </c:tx>
          <c:spPr>
            <a:solidFill>
              <a:schemeClr val="accent2"/>
            </a:solidFill>
            <a:ln>
              <a:noFill/>
            </a:ln>
            <a:effectLst/>
          </c:spPr>
          <c:cat>
            <c:strRef>
              <c:f>Sheet2!$S$6:$S$14</c:f>
              <c:strCache>
                <c:ptCount val="8"/>
                <c:pt idx="0">
                  <c:v>Charger</c:v>
                </c:pt>
                <c:pt idx="1">
                  <c:v>Earbuds</c:v>
                </c:pt>
                <c:pt idx="2">
                  <c:v>Keyboard</c:v>
                </c:pt>
                <c:pt idx="3">
                  <c:v>Laptop</c:v>
                </c:pt>
                <c:pt idx="4">
                  <c:v>Mobile</c:v>
                </c:pt>
                <c:pt idx="5">
                  <c:v>Mouse</c:v>
                </c:pt>
                <c:pt idx="6">
                  <c:v>Smart Watch</c:v>
                </c:pt>
                <c:pt idx="7">
                  <c:v>Tablet</c:v>
                </c:pt>
              </c:strCache>
            </c:strRef>
          </c:cat>
          <c:val>
            <c:numRef>
              <c:f>Sheet2!$U$6:$U$14</c:f>
              <c:numCache>
                <c:formatCode>General</c:formatCode>
                <c:ptCount val="8"/>
                <c:pt idx="0">
                  <c:v>2070</c:v>
                </c:pt>
                <c:pt idx="1">
                  <c:v>1000</c:v>
                </c:pt>
                <c:pt idx="2">
                  <c:v>3000</c:v>
                </c:pt>
                <c:pt idx="3">
                  <c:v>255000</c:v>
                </c:pt>
                <c:pt idx="4">
                  <c:v>70000</c:v>
                </c:pt>
                <c:pt idx="5">
                  <c:v>2070</c:v>
                </c:pt>
                <c:pt idx="6">
                  <c:v>15000</c:v>
                </c:pt>
                <c:pt idx="7">
                  <c:v>90000</c:v>
                </c:pt>
              </c:numCache>
            </c:numRef>
          </c:val>
          <c:extLst>
            <c:ext xmlns:c16="http://schemas.microsoft.com/office/drawing/2014/chart" uri="{C3380CC4-5D6E-409C-BE32-E72D297353CC}">
              <c16:uniqueId val="{00000001-44F6-4806-BC23-A83AD11946F5}"/>
            </c:ext>
          </c:extLst>
        </c:ser>
        <c:dLbls>
          <c:showLegendKey val="0"/>
          <c:showVal val="0"/>
          <c:showCatName val="0"/>
          <c:showSerName val="0"/>
          <c:showPercent val="0"/>
          <c:showBubbleSize val="0"/>
        </c:dLbls>
        <c:axId val="1628410719"/>
        <c:axId val="1626398255"/>
      </c:areaChart>
      <c:catAx>
        <c:axId val="1628410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398255"/>
        <c:crosses val="autoZero"/>
        <c:auto val="1"/>
        <c:lblAlgn val="ctr"/>
        <c:lblOffset val="100"/>
        <c:noMultiLvlLbl val="0"/>
      </c:catAx>
      <c:valAx>
        <c:axId val="1626398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4107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342900" dist="38100" dir="5400000" sx="101000" sy="101000" algn="t" rotWithShape="0">
        <a:prstClr val="black">
          <a:alpha val="48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7.xml"/><Relationship Id="rId7" Type="http://schemas.openxmlformats.org/officeDocument/2006/relationships/image" Target="../media/image4.svg"/><Relationship Id="rId12" Type="http://schemas.openxmlformats.org/officeDocument/2006/relationships/image" Target="../media/image8.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3.png"/><Relationship Id="rId11" Type="http://schemas.openxmlformats.org/officeDocument/2006/relationships/image" Target="../media/image7.png"/><Relationship Id="rId5" Type="http://schemas.openxmlformats.org/officeDocument/2006/relationships/image" Target="../media/image2.svg"/><Relationship Id="rId10" Type="http://schemas.openxmlformats.org/officeDocument/2006/relationships/image" Target="../media/image6.svg"/><Relationship Id="rId4" Type="http://schemas.openxmlformats.org/officeDocument/2006/relationships/image" Target="../media/image1.png"/><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314325</xdr:colOff>
      <xdr:row>1</xdr:row>
      <xdr:rowOff>120650</xdr:rowOff>
    </xdr:from>
    <xdr:to>
      <xdr:col>10</xdr:col>
      <xdr:colOff>95250</xdr:colOff>
      <xdr:row>13</xdr:row>
      <xdr:rowOff>12700</xdr:rowOff>
    </xdr:to>
    <xdr:graphicFrame macro="">
      <xdr:nvGraphicFramePr>
        <xdr:cNvPr id="2" name="Chart 1">
          <a:extLst>
            <a:ext uri="{FF2B5EF4-FFF2-40B4-BE49-F238E27FC236}">
              <a16:creationId xmlns:a16="http://schemas.microsoft.com/office/drawing/2014/main" id="{DFA2B952-7D87-4CF6-A91A-78DB42C3E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292100</xdr:colOff>
      <xdr:row>14</xdr:row>
      <xdr:rowOff>95250</xdr:rowOff>
    </xdr:from>
    <xdr:to>
      <xdr:col>11</xdr:col>
      <xdr:colOff>596900</xdr:colOff>
      <xdr:row>29</xdr:row>
      <xdr:rowOff>25400</xdr:rowOff>
    </xdr:to>
    <xdr:graphicFrame macro="">
      <xdr:nvGraphicFramePr>
        <xdr:cNvPr id="3" name="Chart 2">
          <a:extLst>
            <a:ext uri="{FF2B5EF4-FFF2-40B4-BE49-F238E27FC236}">
              <a16:creationId xmlns:a16="http://schemas.microsoft.com/office/drawing/2014/main" id="{1FEC2471-5CCF-452A-BFF0-6D92B4175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339725</xdr:colOff>
      <xdr:row>10</xdr:row>
      <xdr:rowOff>50800</xdr:rowOff>
    </xdr:from>
    <xdr:to>
      <xdr:col>18</xdr:col>
      <xdr:colOff>12700</xdr:colOff>
      <xdr:row>23</xdr:row>
      <xdr:rowOff>76200</xdr:rowOff>
    </xdr:to>
    <xdr:graphicFrame macro="">
      <xdr:nvGraphicFramePr>
        <xdr:cNvPr id="4" name="Chart 3">
          <a:extLst>
            <a:ext uri="{FF2B5EF4-FFF2-40B4-BE49-F238E27FC236}">
              <a16:creationId xmlns:a16="http://schemas.microsoft.com/office/drawing/2014/main" id="{7BA0A72F-7C50-4C4B-8E55-97317AB997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184150</xdr:colOff>
      <xdr:row>2</xdr:row>
      <xdr:rowOff>101601</xdr:rowOff>
    </xdr:from>
    <xdr:to>
      <xdr:col>5</xdr:col>
      <xdr:colOff>196850</xdr:colOff>
      <xdr:row>8</xdr:row>
      <xdr:rowOff>171451</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7DF0C439-21BB-425D-8C0A-1743264A56C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35150" y="469901"/>
              <a:ext cx="1841500" cy="1174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139700</xdr:colOff>
      <xdr:row>10</xdr:row>
      <xdr:rowOff>6351</xdr:rowOff>
    </xdr:from>
    <xdr:to>
      <xdr:col>5</xdr:col>
      <xdr:colOff>139700</xdr:colOff>
      <xdr:row>19</xdr:row>
      <xdr:rowOff>95251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BEAAA843-2514-4569-930D-BA8CA48498C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90700" y="1847851"/>
              <a:ext cx="1828800" cy="1746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304800</xdr:colOff>
      <xdr:row>1</xdr:row>
      <xdr:rowOff>25401</xdr:rowOff>
    </xdr:from>
    <xdr:to>
      <xdr:col>13</xdr:col>
      <xdr:colOff>304800</xdr:colOff>
      <xdr:row>13</xdr:row>
      <xdr:rowOff>146051</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8C1858AA-3361-490E-B87E-0E0A5FE25D7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832600" y="209551"/>
              <a:ext cx="1828800" cy="2330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561975</xdr:colOff>
      <xdr:row>15</xdr:row>
      <xdr:rowOff>119063</xdr:rowOff>
    </xdr:from>
    <xdr:to>
      <xdr:col>22</xdr:col>
      <xdr:colOff>419100</xdr:colOff>
      <xdr:row>28</xdr:row>
      <xdr:rowOff>19051</xdr:rowOff>
    </xdr:to>
    <xdr:graphicFrame macro="">
      <xdr:nvGraphicFramePr>
        <xdr:cNvPr id="5" name="Chart 4">
          <a:extLst>
            <a:ext uri="{FF2B5EF4-FFF2-40B4-BE49-F238E27FC236}">
              <a16:creationId xmlns:a16="http://schemas.microsoft.com/office/drawing/2014/main" id="{AA39DE12-FA56-E15D-7C64-27419105F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85725</xdr:colOff>
      <xdr:row>24</xdr:row>
      <xdr:rowOff>95250</xdr:rowOff>
    </xdr:from>
    <xdr:to>
      <xdr:col>17</xdr:col>
      <xdr:colOff>447675</xdr:colOff>
      <xdr:row>32</xdr:row>
      <xdr:rowOff>9525</xdr:rowOff>
    </xdr:to>
    <mc:AlternateContent xmlns:mc="http://schemas.openxmlformats.org/markup-compatibility/2006">
      <mc:Choice xmlns:a14="http://schemas.microsoft.com/office/drawing/2010/main" Requires="a14">
        <xdr:graphicFrame macro="">
          <xdr:nvGraphicFramePr>
            <xdr:cNvPr id="8" name="Quantity">
              <a:extLst>
                <a:ext uri="{FF2B5EF4-FFF2-40B4-BE49-F238E27FC236}">
                  <a16:creationId xmlns:a16="http://schemas.microsoft.com/office/drawing/2014/main" id="{AE77DAAD-1A10-5679-1E91-2D9661B8BADE}"/>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10182225" y="4667250"/>
              <a:ext cx="1781175"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292099</xdr:colOff>
      <xdr:row>1</xdr:row>
      <xdr:rowOff>149225</xdr:rowOff>
    </xdr:from>
    <xdr:to>
      <xdr:col>5</xdr:col>
      <xdr:colOff>352424</xdr:colOff>
      <xdr:row>4</xdr:row>
      <xdr:rowOff>152401</xdr:rowOff>
    </xdr:to>
    <xdr:sp macro="" textlink="">
      <xdr:nvSpPr>
        <xdr:cNvPr id="3" name="Rectangle 2">
          <a:extLst>
            <a:ext uri="{FF2B5EF4-FFF2-40B4-BE49-F238E27FC236}">
              <a16:creationId xmlns:a16="http://schemas.microsoft.com/office/drawing/2014/main" id="{F6E61CAE-E08A-40DA-978F-CD651A4BF77E}"/>
            </a:ext>
          </a:extLst>
        </xdr:cNvPr>
        <xdr:cNvSpPr/>
      </xdr:nvSpPr>
      <xdr:spPr>
        <a:xfrm>
          <a:off x="2120899" y="339725"/>
          <a:ext cx="1279525" cy="574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Total</a:t>
          </a:r>
          <a:r>
            <a:rPr lang="en-IN" sz="1200" baseline="0"/>
            <a:t> </a:t>
          </a:r>
          <a:r>
            <a:rPr lang="en-IN" sz="1200"/>
            <a:t>Sales </a:t>
          </a:r>
          <a:r>
            <a:rPr lang="en-IN" sz="1200" b="1" i="0" u="none" strike="noStrike">
              <a:solidFill>
                <a:schemeClr val="lt1"/>
              </a:solidFill>
              <a:effectLst/>
              <a:latin typeface="+mn-lt"/>
              <a:ea typeface="+mn-ea"/>
              <a:cs typeface="+mn-cs"/>
            </a:rPr>
            <a:t>438140</a:t>
          </a:r>
          <a:r>
            <a:rPr lang="en-IN" sz="1200"/>
            <a:t> </a:t>
          </a:r>
        </a:p>
      </xdr:txBody>
    </xdr:sp>
    <xdr:clientData/>
  </xdr:twoCellAnchor>
  <xdr:twoCellAnchor>
    <xdr:from>
      <xdr:col>6</xdr:col>
      <xdr:colOff>377824</xdr:colOff>
      <xdr:row>1</xdr:row>
      <xdr:rowOff>187325</xdr:rowOff>
    </xdr:from>
    <xdr:to>
      <xdr:col>8</xdr:col>
      <xdr:colOff>361949</xdr:colOff>
      <xdr:row>4</xdr:row>
      <xdr:rowOff>152400</xdr:rowOff>
    </xdr:to>
    <xdr:sp macro="" textlink="">
      <xdr:nvSpPr>
        <xdr:cNvPr id="6" name="Rectangle 5">
          <a:extLst>
            <a:ext uri="{FF2B5EF4-FFF2-40B4-BE49-F238E27FC236}">
              <a16:creationId xmlns:a16="http://schemas.microsoft.com/office/drawing/2014/main" id="{68A417F1-8585-4C1A-899E-861374B2C253}"/>
            </a:ext>
          </a:extLst>
        </xdr:cNvPr>
        <xdr:cNvSpPr/>
      </xdr:nvSpPr>
      <xdr:spPr>
        <a:xfrm>
          <a:off x="4035424" y="377825"/>
          <a:ext cx="1203325" cy="5365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Total Orders </a:t>
          </a:r>
          <a:r>
            <a:rPr lang="en-IN" sz="1400" b="0" i="0" u="none" strike="noStrike">
              <a:solidFill>
                <a:schemeClr val="lt1"/>
              </a:solidFill>
              <a:effectLst/>
              <a:latin typeface="+mn-lt"/>
              <a:ea typeface="+mn-ea"/>
              <a:cs typeface="+mn-cs"/>
            </a:rPr>
            <a:t>13</a:t>
          </a:r>
          <a:r>
            <a:rPr lang="en-IN" sz="1400"/>
            <a:t> </a:t>
          </a:r>
        </a:p>
      </xdr:txBody>
    </xdr:sp>
    <xdr:clientData/>
  </xdr:twoCellAnchor>
  <xdr:twoCellAnchor>
    <xdr:from>
      <xdr:col>6</xdr:col>
      <xdr:colOff>358775</xdr:colOff>
      <xdr:row>6</xdr:row>
      <xdr:rowOff>95250</xdr:rowOff>
    </xdr:from>
    <xdr:to>
      <xdr:col>12</xdr:col>
      <xdr:colOff>381000</xdr:colOff>
      <xdr:row>19</xdr:row>
      <xdr:rowOff>95251</xdr:rowOff>
    </xdr:to>
    <xdr:graphicFrame macro="">
      <xdr:nvGraphicFramePr>
        <xdr:cNvPr id="7" name="Chart 6">
          <a:extLst>
            <a:ext uri="{FF2B5EF4-FFF2-40B4-BE49-F238E27FC236}">
              <a16:creationId xmlns:a16="http://schemas.microsoft.com/office/drawing/2014/main" id="{D5F00EB2-25A5-4895-9C8D-7E5DEA34D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6350</xdr:colOff>
      <xdr:row>8</xdr:row>
      <xdr:rowOff>41274</xdr:rowOff>
    </xdr:from>
    <xdr:to>
      <xdr:col>6</xdr:col>
      <xdr:colOff>0</xdr:colOff>
      <xdr:row>16</xdr:row>
      <xdr:rowOff>152399</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B53913CD-9E7D-433F-9642-D12DD6FD1AD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835150" y="1565274"/>
              <a:ext cx="1822450" cy="1635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400050</xdr:colOff>
      <xdr:row>20</xdr:row>
      <xdr:rowOff>161925</xdr:rowOff>
    </xdr:from>
    <xdr:to>
      <xdr:col>12</xdr:col>
      <xdr:colOff>352425</xdr:colOff>
      <xdr:row>34</xdr:row>
      <xdr:rowOff>28575</xdr:rowOff>
    </xdr:to>
    <xdr:graphicFrame macro="">
      <xdr:nvGraphicFramePr>
        <xdr:cNvPr id="9" name="Chart 8">
          <a:extLst>
            <a:ext uri="{FF2B5EF4-FFF2-40B4-BE49-F238E27FC236}">
              <a16:creationId xmlns:a16="http://schemas.microsoft.com/office/drawing/2014/main" id="{E177FF74-A253-480F-8394-FE9DDA31E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558800</xdr:colOff>
      <xdr:row>21</xdr:row>
      <xdr:rowOff>69850</xdr:rowOff>
    </xdr:from>
    <xdr:to>
      <xdr:col>5</xdr:col>
      <xdr:colOff>558800</xdr:colOff>
      <xdr:row>33</xdr:row>
      <xdr:rowOff>95250</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1148A507-30ED-4C1A-9C15-BECEBB9CBF3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778000" y="4070350"/>
              <a:ext cx="1828800" cy="2311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257175</xdr:colOff>
      <xdr:row>6</xdr:row>
      <xdr:rowOff>76200</xdr:rowOff>
    </xdr:from>
    <xdr:to>
      <xdr:col>19</xdr:col>
      <xdr:colOff>241300</xdr:colOff>
      <xdr:row>19</xdr:row>
      <xdr:rowOff>57150</xdr:rowOff>
    </xdr:to>
    <xdr:graphicFrame macro="">
      <xdr:nvGraphicFramePr>
        <xdr:cNvPr id="11" name="Chart 10">
          <a:extLst>
            <a:ext uri="{FF2B5EF4-FFF2-40B4-BE49-F238E27FC236}">
              <a16:creationId xmlns:a16="http://schemas.microsoft.com/office/drawing/2014/main" id="{401158F2-E5E8-4AA1-854F-D26923F6E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41274</xdr:colOff>
      <xdr:row>6</xdr:row>
      <xdr:rowOff>38100</xdr:rowOff>
    </xdr:from>
    <xdr:to>
      <xdr:col>23</xdr:col>
      <xdr:colOff>95249</xdr:colOff>
      <xdr:row>19</xdr:row>
      <xdr:rowOff>123825</xdr:rowOff>
    </xdr:to>
    <mc:AlternateContent xmlns:mc="http://schemas.openxmlformats.org/markup-compatibility/2006">
      <mc:Choice xmlns:a14="http://schemas.microsoft.com/office/drawing/2010/main" Requires="a14">
        <xdr:graphicFrame macro="">
          <xdr:nvGraphicFramePr>
            <xdr:cNvPr id="12" name="Product 1">
              <a:extLst>
                <a:ext uri="{FF2B5EF4-FFF2-40B4-BE49-F238E27FC236}">
                  <a16:creationId xmlns:a16="http://schemas.microsoft.com/office/drawing/2014/main" id="{7C8F6E34-3720-477E-9F63-47939364782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2233274" y="1181100"/>
              <a:ext cx="1882775" cy="2562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250824</xdr:colOff>
      <xdr:row>0</xdr:row>
      <xdr:rowOff>114300</xdr:rowOff>
    </xdr:from>
    <xdr:to>
      <xdr:col>18</xdr:col>
      <xdr:colOff>266699</xdr:colOff>
      <xdr:row>3</xdr:row>
      <xdr:rowOff>180975</xdr:rowOff>
    </xdr:to>
    <xdr:sp macro="" textlink="">
      <xdr:nvSpPr>
        <xdr:cNvPr id="13" name="Oval 12">
          <a:extLst>
            <a:ext uri="{FF2B5EF4-FFF2-40B4-BE49-F238E27FC236}">
              <a16:creationId xmlns:a16="http://schemas.microsoft.com/office/drawing/2014/main" id="{9C1A1071-B6AE-449A-8CC2-E0549875A422}"/>
            </a:ext>
          </a:extLst>
        </xdr:cNvPr>
        <xdr:cNvSpPr/>
      </xdr:nvSpPr>
      <xdr:spPr>
        <a:xfrm>
          <a:off x="6956424" y="114300"/>
          <a:ext cx="4283075" cy="6381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Sales Dashboard</a:t>
          </a:r>
        </a:p>
      </xdr:txBody>
    </xdr:sp>
    <xdr:clientData/>
  </xdr:twoCellAnchor>
  <xdr:twoCellAnchor editAs="oneCell">
    <xdr:from>
      <xdr:col>7</xdr:col>
      <xdr:colOff>476250</xdr:colOff>
      <xdr:row>3</xdr:row>
      <xdr:rowOff>9525</xdr:rowOff>
    </xdr:from>
    <xdr:to>
      <xdr:col>8</xdr:col>
      <xdr:colOff>219075</xdr:colOff>
      <xdr:row>4</xdr:row>
      <xdr:rowOff>171450</xdr:rowOff>
    </xdr:to>
    <xdr:pic>
      <xdr:nvPicPr>
        <xdr:cNvPr id="4" name="Graphic 3" descr="Bar chart with solid fill">
          <a:extLst>
            <a:ext uri="{FF2B5EF4-FFF2-40B4-BE49-F238E27FC236}">
              <a16:creationId xmlns:a16="http://schemas.microsoft.com/office/drawing/2014/main" id="{4E332F12-F122-0D52-BB5E-906A3CF9F32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743450" y="581025"/>
          <a:ext cx="352425" cy="352425"/>
        </a:xfrm>
        <a:prstGeom prst="rect">
          <a:avLst/>
        </a:prstGeom>
      </xdr:spPr>
    </xdr:pic>
    <xdr:clientData/>
  </xdr:twoCellAnchor>
  <xdr:twoCellAnchor editAs="oneCell">
    <xdr:from>
      <xdr:col>3</xdr:col>
      <xdr:colOff>361950</xdr:colOff>
      <xdr:row>12</xdr:row>
      <xdr:rowOff>123825</xdr:rowOff>
    </xdr:from>
    <xdr:to>
      <xdr:col>4</xdr:col>
      <xdr:colOff>571500</xdr:colOff>
      <xdr:row>16</xdr:row>
      <xdr:rowOff>180975</xdr:rowOff>
    </xdr:to>
    <xdr:pic>
      <xdr:nvPicPr>
        <xdr:cNvPr id="14" name="Graphic 13" descr="Computer with solid fill">
          <a:extLst>
            <a:ext uri="{FF2B5EF4-FFF2-40B4-BE49-F238E27FC236}">
              <a16:creationId xmlns:a16="http://schemas.microsoft.com/office/drawing/2014/main" id="{4FD1CCDB-9A5D-4E2D-AF30-CB1B9DD3A48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90750" y="2409825"/>
          <a:ext cx="819150" cy="819150"/>
        </a:xfrm>
        <a:prstGeom prst="rect">
          <a:avLst/>
        </a:prstGeom>
      </xdr:spPr>
    </xdr:pic>
    <xdr:clientData/>
  </xdr:twoCellAnchor>
  <xdr:twoCellAnchor editAs="oneCell">
    <xdr:from>
      <xdr:col>20</xdr:col>
      <xdr:colOff>47625</xdr:colOff>
      <xdr:row>22</xdr:row>
      <xdr:rowOff>66675</xdr:rowOff>
    </xdr:from>
    <xdr:to>
      <xdr:col>23</xdr:col>
      <xdr:colOff>0</xdr:colOff>
      <xdr:row>29</xdr:row>
      <xdr:rowOff>171450</xdr:rowOff>
    </xdr:to>
    <mc:AlternateContent xmlns:mc="http://schemas.openxmlformats.org/markup-compatibility/2006">
      <mc:Choice xmlns:a14="http://schemas.microsoft.com/office/drawing/2010/main" Requires="a14">
        <xdr:graphicFrame macro="">
          <xdr:nvGraphicFramePr>
            <xdr:cNvPr id="15" name="Quantity 1">
              <a:extLst>
                <a:ext uri="{FF2B5EF4-FFF2-40B4-BE49-F238E27FC236}">
                  <a16:creationId xmlns:a16="http://schemas.microsoft.com/office/drawing/2014/main" id="{F2876D7B-BE65-4587-880E-B2336D0EE297}"/>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dr:sp macro="" textlink="">
          <xdr:nvSpPr>
            <xdr:cNvPr id="0" name=""/>
            <xdr:cNvSpPr>
              <a:spLocks noTextEdit="1"/>
            </xdr:cNvSpPr>
          </xdr:nvSpPr>
          <xdr:spPr>
            <a:xfrm>
              <a:off x="12239625" y="4257675"/>
              <a:ext cx="1781175"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152400</xdr:colOff>
      <xdr:row>20</xdr:row>
      <xdr:rowOff>123825</xdr:rowOff>
    </xdr:from>
    <xdr:to>
      <xdr:col>19</xdr:col>
      <xdr:colOff>142875</xdr:colOff>
      <xdr:row>34</xdr:row>
      <xdr:rowOff>19050</xdr:rowOff>
    </xdr:to>
    <xdr:graphicFrame macro="">
      <xdr:nvGraphicFramePr>
        <xdr:cNvPr id="16" name="Chart 15">
          <a:extLst>
            <a:ext uri="{FF2B5EF4-FFF2-40B4-BE49-F238E27FC236}">
              <a16:creationId xmlns:a16="http://schemas.microsoft.com/office/drawing/2014/main" id="{B63E59A8-D56C-4043-A202-CDFFBEBBD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409575</xdr:colOff>
      <xdr:row>29</xdr:row>
      <xdr:rowOff>133350</xdr:rowOff>
    </xdr:from>
    <xdr:to>
      <xdr:col>5</xdr:col>
      <xdr:colOff>361950</xdr:colOff>
      <xdr:row>32</xdr:row>
      <xdr:rowOff>123825</xdr:rowOff>
    </xdr:to>
    <xdr:pic>
      <xdr:nvPicPr>
        <xdr:cNvPr id="18" name="Graphic 17" descr="Connections with solid fill">
          <a:extLst>
            <a:ext uri="{FF2B5EF4-FFF2-40B4-BE49-F238E27FC236}">
              <a16:creationId xmlns:a16="http://schemas.microsoft.com/office/drawing/2014/main" id="{27AA3D7A-BBB6-C42A-A6C1-72BA8AD0CA0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47975" y="5657850"/>
          <a:ext cx="561975" cy="561975"/>
        </a:xfrm>
        <a:prstGeom prst="rect">
          <a:avLst/>
        </a:prstGeom>
      </xdr:spPr>
    </xdr:pic>
    <xdr:clientData/>
  </xdr:twoCellAnchor>
  <xdr:twoCellAnchor editAs="oneCell">
    <xdr:from>
      <xdr:col>4</xdr:col>
      <xdr:colOff>409577</xdr:colOff>
      <xdr:row>2</xdr:row>
      <xdr:rowOff>123827</xdr:rowOff>
    </xdr:from>
    <xdr:to>
      <xdr:col>5</xdr:col>
      <xdr:colOff>247651</xdr:colOff>
      <xdr:row>5</xdr:row>
      <xdr:rowOff>1</xdr:rowOff>
    </xdr:to>
    <xdr:pic>
      <xdr:nvPicPr>
        <xdr:cNvPr id="20" name="Graphic 19" descr="Coins with solid fill">
          <a:extLst>
            <a:ext uri="{FF2B5EF4-FFF2-40B4-BE49-F238E27FC236}">
              <a16:creationId xmlns:a16="http://schemas.microsoft.com/office/drawing/2014/main" id="{D41DEAB0-F5FF-A8D2-0417-2E7E34F760F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847977" y="504827"/>
          <a:ext cx="447674" cy="44767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0.908672916667" createdVersion="6" refreshedVersion="6" minRefreshableVersion="3" recordCount="13" xr:uid="{8723CED9-C796-4BA6-AD89-B0827A318A25}">
  <cacheSource type="worksheet">
    <worksheetSource name="Table1"/>
  </cacheSource>
  <cacheFields count="8">
    <cacheField name="Date" numFmtId="14">
      <sharedItems containsSemiMixedTypes="0" containsNonDate="0" containsDate="1" containsString="0" minDate="2026-06-07T00:00:00" maxDate="2026-06-20T00:00:00" count="10">
        <d v="2026-06-07T00:00:00"/>
        <d v="2026-06-08T00:00:00"/>
        <d v="2026-06-10T00:00:00"/>
        <d v="2026-06-11T00:00:00"/>
        <d v="2026-06-12T00:00:00"/>
        <d v="2026-06-14T00:00:00"/>
        <d v="2026-06-15T00:00:00"/>
        <d v="2026-06-16T00:00:00"/>
        <d v="2026-06-18T00:00:00"/>
        <d v="2026-06-19T00:00:00"/>
      </sharedItems>
    </cacheField>
    <cacheField name="Customer" numFmtId="0">
      <sharedItems/>
    </cacheField>
    <cacheField name="Product" numFmtId="0">
      <sharedItems count="8">
        <s v="Laptop"/>
        <s v="Mouse"/>
        <s v="Charger"/>
        <s v="Mobile"/>
        <s v="Smart Watch"/>
        <s v="Keyboard"/>
        <s v="Earbuds"/>
        <s v="Tablet"/>
      </sharedItems>
    </cacheField>
    <cacheField name="Category" numFmtId="0">
      <sharedItems count="2">
        <s v="Electronics"/>
        <s v="Accessories"/>
      </sharedItems>
    </cacheField>
    <cacheField name="Quantity" numFmtId="0">
      <sharedItems containsSemiMixedTypes="0" containsString="0" containsNumber="1" containsInteger="1" minValue="1" maxValue="3" count="3">
        <n v="1"/>
        <n v="2"/>
        <n v="3"/>
      </sharedItems>
    </cacheField>
    <cacheField name="Price" numFmtId="0">
      <sharedItems containsSemiMixedTypes="0" containsString="0" containsNumber="1" containsInteger="1" minValue="360" maxValue="75000" count="13">
        <n v="50000"/>
        <n v="700"/>
        <n v="450"/>
        <n v="25000"/>
        <n v="5000"/>
        <n v="1500"/>
        <n v="45000"/>
        <n v="75000"/>
        <n v="500"/>
        <n v="30000"/>
        <n v="670"/>
        <n v="360"/>
        <n v="65000"/>
      </sharedItems>
    </cacheField>
    <cacheField name="Region" numFmtId="0">
      <sharedItems count="5">
        <s v="Hyderabad"/>
        <s v="Tirupathi"/>
        <s v="Kurnool"/>
        <s v="Madanapalle"/>
        <s v="Vizag"/>
      </sharedItems>
    </cacheField>
    <cacheField name="Sales" numFmtId="0">
      <sharedItems containsSemiMixedTypes="0" containsString="0" containsNumber="1" containsInteger="1" minValue="670" maxValue="130000"/>
    </cacheField>
  </cacheFields>
  <extLst>
    <ext xmlns:x14="http://schemas.microsoft.com/office/spreadsheetml/2009/9/main" uri="{725AE2AE-9491-48be-B2B4-4EB974FC3084}">
      <x14:pivotCacheDefinition pivotCacheId="6491280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s v="Shalini"/>
    <x v="0"/>
    <x v="0"/>
    <x v="0"/>
    <x v="0"/>
    <x v="0"/>
    <n v="50000"/>
  </r>
  <r>
    <x v="1"/>
    <s v="Priya"/>
    <x v="1"/>
    <x v="1"/>
    <x v="1"/>
    <x v="1"/>
    <x v="1"/>
    <n v="1400"/>
  </r>
  <r>
    <x v="1"/>
    <s v="Ravi"/>
    <x v="2"/>
    <x v="1"/>
    <x v="2"/>
    <x v="2"/>
    <x v="2"/>
    <n v="1350"/>
  </r>
  <r>
    <x v="2"/>
    <s v="Joy"/>
    <x v="3"/>
    <x v="0"/>
    <x v="0"/>
    <x v="3"/>
    <x v="3"/>
    <n v="25000"/>
  </r>
  <r>
    <x v="3"/>
    <s v="Reena"/>
    <x v="4"/>
    <x v="0"/>
    <x v="2"/>
    <x v="4"/>
    <x v="4"/>
    <n v="15000"/>
  </r>
  <r>
    <x v="4"/>
    <s v="Kiran"/>
    <x v="5"/>
    <x v="1"/>
    <x v="1"/>
    <x v="5"/>
    <x v="0"/>
    <n v="3000"/>
  </r>
  <r>
    <x v="4"/>
    <s v="Anu"/>
    <x v="3"/>
    <x v="0"/>
    <x v="0"/>
    <x v="6"/>
    <x v="3"/>
    <n v="45000"/>
  </r>
  <r>
    <x v="5"/>
    <s v="Arun"/>
    <x v="0"/>
    <x v="0"/>
    <x v="0"/>
    <x v="7"/>
    <x v="2"/>
    <n v="75000"/>
  </r>
  <r>
    <x v="6"/>
    <s v="Sita"/>
    <x v="6"/>
    <x v="1"/>
    <x v="1"/>
    <x v="8"/>
    <x v="1"/>
    <n v="1000"/>
  </r>
  <r>
    <x v="7"/>
    <s v="Ram"/>
    <x v="7"/>
    <x v="0"/>
    <x v="2"/>
    <x v="9"/>
    <x v="4"/>
    <n v="90000"/>
  </r>
  <r>
    <x v="7"/>
    <s v="Akhil"/>
    <x v="1"/>
    <x v="1"/>
    <x v="0"/>
    <x v="10"/>
    <x v="2"/>
    <n v="670"/>
  </r>
  <r>
    <x v="8"/>
    <s v="Keerthi"/>
    <x v="2"/>
    <x v="1"/>
    <x v="1"/>
    <x v="11"/>
    <x v="0"/>
    <n v="720"/>
  </r>
  <r>
    <x v="9"/>
    <s v="Naveen"/>
    <x v="0"/>
    <x v="0"/>
    <x v="1"/>
    <x v="12"/>
    <x v="3"/>
    <n v="13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EB360C-3698-4C5C-B60C-5F01DD1415C6}" name="PivotTable1" cacheId="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S5:U14" firstHeaderRow="0" firstDataRow="1" firstDataCol="1"/>
  <pivotFields count="8">
    <pivotField numFmtId="14" showAll="0">
      <items count="11">
        <item x="0"/>
        <item x="1"/>
        <item x="2"/>
        <item x="3"/>
        <item x="4"/>
        <item x="5"/>
        <item x="6"/>
        <item x="7"/>
        <item x="8"/>
        <item x="9"/>
        <item t="default"/>
      </items>
    </pivotField>
    <pivotField showAll="0"/>
    <pivotField axis="axisRow" showAll="0">
      <items count="9">
        <item x="2"/>
        <item x="6"/>
        <item x="5"/>
        <item x="0"/>
        <item x="3"/>
        <item x="1"/>
        <item x="4"/>
        <item x="7"/>
        <item t="default"/>
      </items>
    </pivotField>
    <pivotField showAll="0">
      <items count="3">
        <item x="1"/>
        <item x="0"/>
        <item t="default"/>
      </items>
    </pivotField>
    <pivotField showAll="0">
      <items count="4">
        <item x="0"/>
        <item x="1"/>
        <item x="2"/>
        <item t="default"/>
      </items>
    </pivotField>
    <pivotField dataField="1" showAll="0">
      <items count="14">
        <item x="11"/>
        <item x="2"/>
        <item x="8"/>
        <item x="10"/>
        <item x="1"/>
        <item x="5"/>
        <item x="4"/>
        <item x="3"/>
        <item x="9"/>
        <item x="6"/>
        <item x="0"/>
        <item x="12"/>
        <item x="7"/>
        <item t="default"/>
      </items>
    </pivotField>
    <pivotField showAll="0"/>
    <pivotField dataField="1" showAll="0"/>
  </pivotFields>
  <rowFields count="1">
    <field x="2"/>
  </rowFields>
  <rowItems count="9">
    <i>
      <x/>
    </i>
    <i>
      <x v="1"/>
    </i>
    <i>
      <x v="2"/>
    </i>
    <i>
      <x v="3"/>
    </i>
    <i>
      <x v="4"/>
    </i>
    <i>
      <x v="5"/>
    </i>
    <i>
      <x v="6"/>
    </i>
    <i>
      <x v="7"/>
    </i>
    <i t="grand">
      <x/>
    </i>
  </rowItems>
  <colFields count="1">
    <field x="-2"/>
  </colFields>
  <colItems count="2">
    <i>
      <x/>
    </i>
    <i i="1">
      <x v="1"/>
    </i>
  </colItems>
  <dataFields count="2">
    <dataField name="Sum of Price" fld="5" baseField="0" baseItem="0"/>
    <dataField name="Sum of Sales" fld="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832B16-03A3-4DD1-B36D-96941D8B02C0}" name="PivotTable4" cacheId="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O3:P6" firstHeaderRow="1" firstDataRow="1" firstDataCol="1"/>
  <pivotFields count="8">
    <pivotField numFmtId="14" showAll="0"/>
    <pivotField showAll="0"/>
    <pivotField showAll="0">
      <items count="9">
        <item x="2"/>
        <item x="6"/>
        <item x="5"/>
        <item x="0"/>
        <item x="3"/>
        <item x="1"/>
        <item x="4"/>
        <item x="7"/>
        <item t="default"/>
      </items>
    </pivotField>
    <pivotField axis="axisRow" showAll="0">
      <items count="3">
        <item x="1"/>
        <item x="0"/>
        <item t="default"/>
      </items>
    </pivotField>
    <pivotField showAll="0">
      <items count="4">
        <item x="0"/>
        <item x="1"/>
        <item x="2"/>
        <item t="default"/>
      </items>
    </pivotField>
    <pivotField showAll="0"/>
    <pivotField showAll="0">
      <items count="6">
        <item x="0"/>
        <item x="2"/>
        <item x="3"/>
        <item x="1"/>
        <item x="4"/>
        <item t="default"/>
      </items>
    </pivotField>
    <pivotField dataField="1" showAll="0"/>
  </pivotFields>
  <rowFields count="1">
    <field x="3"/>
  </rowFields>
  <rowItems count="3">
    <i>
      <x/>
    </i>
    <i>
      <x v="1"/>
    </i>
    <i t="grand">
      <x/>
    </i>
  </rowItems>
  <colItems count="1">
    <i/>
  </colItems>
  <dataFields count="1">
    <dataField name="Sum of Sales" fld="7" baseField="0" baseItem="0"/>
  </dataFields>
  <chartFormats count="6">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0"/>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E41AA8-7AD1-4F93-B932-172EE4240F15}" name="PivotTable3" cacheId="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15:B24" firstHeaderRow="1" firstDataRow="1" firstDataCol="1"/>
  <pivotFields count="8">
    <pivotField numFmtId="14" showAll="0"/>
    <pivotField showAll="0"/>
    <pivotField axis="axisRow" showAll="0">
      <items count="9">
        <item x="2"/>
        <item x="6"/>
        <item x="5"/>
        <item x="0"/>
        <item x="3"/>
        <item x="1"/>
        <item x="4"/>
        <item x="7"/>
        <item t="default"/>
      </items>
    </pivotField>
    <pivotField showAll="0">
      <items count="3">
        <item x="1"/>
        <item x="0"/>
        <item t="default"/>
      </items>
    </pivotField>
    <pivotField showAll="0">
      <items count="4">
        <item x="0"/>
        <item x="1"/>
        <item x="2"/>
        <item t="default"/>
      </items>
    </pivotField>
    <pivotField showAll="0"/>
    <pivotField showAll="0">
      <items count="6">
        <item x="0"/>
        <item x="2"/>
        <item x="3"/>
        <item x="1"/>
        <item x="4"/>
        <item t="default"/>
      </items>
    </pivotField>
    <pivotField dataField="1" showAll="0"/>
  </pivotFields>
  <rowFields count="1">
    <field x="2"/>
  </rowFields>
  <rowItems count="9">
    <i>
      <x/>
    </i>
    <i>
      <x v="1"/>
    </i>
    <i>
      <x v="2"/>
    </i>
    <i>
      <x v="3"/>
    </i>
    <i>
      <x v="4"/>
    </i>
    <i>
      <x v="5"/>
    </i>
    <i>
      <x v="6"/>
    </i>
    <i>
      <x v="7"/>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834518-B2FE-42FE-8DC2-66743385D116}" name="PivotTable2" cacheId="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9" firstHeaderRow="1" firstDataRow="1" firstDataCol="1"/>
  <pivotFields count="8">
    <pivotField numFmtId="14" showAll="0"/>
    <pivotField showAll="0"/>
    <pivotField showAll="0">
      <items count="9">
        <item x="2"/>
        <item x="6"/>
        <item x="5"/>
        <item x="0"/>
        <item x="3"/>
        <item x="1"/>
        <item x="4"/>
        <item x="7"/>
        <item t="default"/>
      </items>
    </pivotField>
    <pivotField showAll="0">
      <items count="3">
        <item x="1"/>
        <item x="0"/>
        <item t="default"/>
      </items>
    </pivotField>
    <pivotField showAll="0">
      <items count="4">
        <item x="0"/>
        <item x="1"/>
        <item x="2"/>
        <item t="default"/>
      </items>
    </pivotField>
    <pivotField showAll="0"/>
    <pivotField axis="axisRow" showAll="0">
      <items count="6">
        <item x="0"/>
        <item x="2"/>
        <item x="3"/>
        <item x="1"/>
        <item x="4"/>
        <item t="default"/>
      </items>
    </pivotField>
    <pivotField dataField="1" showAll="0"/>
  </pivotFields>
  <rowFields count="1">
    <field x="6"/>
  </rowFields>
  <rowItems count="6">
    <i>
      <x/>
    </i>
    <i>
      <x v="1"/>
    </i>
    <i>
      <x v="2"/>
    </i>
    <i>
      <x v="3"/>
    </i>
    <i>
      <x v="4"/>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5EB6647-AE2E-483F-8957-3CB09DA3021B}" sourceName="Category">
  <pivotTables>
    <pivotTable tabId="2" name="PivotTable2"/>
    <pivotTable tabId="2" name="PivotTable3"/>
    <pivotTable tabId="2" name="PivotTable4"/>
  </pivotTables>
  <data>
    <tabular pivotCacheId="64912805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5F8306A-A059-480E-BC57-858F6250E61C}" sourceName="Region">
  <pivotTables>
    <pivotTable tabId="2" name="PivotTable3"/>
    <pivotTable tabId="2" name="PivotTable2"/>
    <pivotTable tabId="2" name="PivotTable4"/>
  </pivotTables>
  <data>
    <tabular pivotCacheId="649128059">
      <items count="5">
        <i x="0" s="1"/>
        <i x="2" s="1"/>
        <i x="3"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70B7634-7D2C-4817-9AF3-604E422098E0}" sourceName="Product">
  <pivotTables>
    <pivotTable tabId="2" name="PivotTable4"/>
    <pivotTable tabId="2" name="PivotTable2"/>
    <pivotTable tabId="2" name="PivotTable3"/>
  </pivotTables>
  <data>
    <tabular pivotCacheId="649128059">
      <items count="8">
        <i x="2" s="1"/>
        <i x="6" s="1"/>
        <i x="5" s="1"/>
        <i x="0" s="1"/>
        <i x="3" s="1"/>
        <i x="1" s="1"/>
        <i x="4"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F6652EAC-1CA6-490C-B019-FFB532EC86CD}" sourceName="Quantity">
  <pivotTables>
    <pivotTable tabId="2" name="PivotTable1"/>
    <pivotTable tabId="2" name="PivotTable2"/>
    <pivotTable tabId="2" name="PivotTable3"/>
    <pivotTable tabId="2" name="PivotTable4"/>
  </pivotTables>
  <data>
    <tabular pivotCacheId="64912805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E8E06B7-D35B-4417-B190-3E26C0B2789E}" cache="Slicer_Category" caption="Category" rowHeight="241300"/>
  <slicer name="Region" xr10:uid="{C465069E-D7C6-49EF-905F-A701BF596482}" cache="Slicer_Region" caption="Region" rowHeight="241300"/>
  <slicer name="Product" xr10:uid="{9A0ABB24-D567-417E-884F-6936D62B11D9}" cache="Slicer_Product" caption="Product" rowHeight="241300"/>
  <slicer name="Quantity" xr10:uid="{109A19F7-FBDA-456F-8759-EAC6B1BB40D1}" cache="Slicer_Quantity" caption="Quantit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A0CA600-A3DB-4BCF-9E7C-69D344250336}" cache="Slicer_Category" caption="Category" rowHeight="241300"/>
  <slicer name="Region 1" xr10:uid="{A2808CF0-0653-45CE-9EE3-B4CC95F66A6F}" cache="Slicer_Region" caption="Region" rowHeight="241300"/>
  <slicer name="Product 1" xr10:uid="{28A15DBC-6FCE-42E2-B472-52041671B311}" cache="Slicer_Product" caption="Product" rowHeight="241300"/>
  <slicer name="Quantity 1" xr10:uid="{FE973888-A146-4655-B3F6-CB91520E880C}" cache="Slicer_Quantity" caption="Quant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F816D6-27B2-4EFC-962B-9D09D345B4B3}" name="Table1" displayName="Table1" ref="A1:H15" totalsRowCount="1">
  <autoFilter ref="A1:H14" xr:uid="{F1667CBC-3393-4F02-8D0D-4FE31E2A2D70}"/>
  <tableColumns count="8">
    <tableColumn id="1" xr3:uid="{71BA50AE-E2E8-4677-A397-96A5BBCB629E}" name="Date" dataDxfId="1" totalsRowDxfId="0"/>
    <tableColumn id="2" xr3:uid="{EBC7D33E-3BAF-458E-AF4D-05607A309D70}" name="Customer"/>
    <tableColumn id="3" xr3:uid="{624ABF5A-9425-4606-AAF1-D7D2B2784BBE}" name="Product"/>
    <tableColumn id="4" xr3:uid="{75F9FE69-E157-48F3-816C-676B03627935}" name="Category"/>
    <tableColumn id="5" xr3:uid="{1FCDBFD6-D65E-41D8-9DF5-3321C6F1DD47}" name="Quantity"/>
    <tableColumn id="6" xr3:uid="{A90E1505-BF84-4C0E-BBF2-ED3A0C88AB24}" name="Price"/>
    <tableColumn id="7" xr3:uid="{77B14E6E-C8C0-4F6B-946D-2AFCF7C77BFF}" name="Region" totalsRowLabel="Total Sales"/>
    <tableColumn id="8" xr3:uid="{E7CB8882-B5C3-444D-BB3D-CF3F4321604B}" name="Sales" totalsRowFunction="custom">
      <calculatedColumnFormula>E2*F2</calculatedColumnFormula>
      <totalsRowFormula>SUM(Table1[Sales])</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34FAC-DEDA-439A-A150-25030B1C824B}">
  <dimension ref="A3:U24"/>
  <sheetViews>
    <sheetView topLeftCell="D1" workbookViewId="0">
      <selection activeCell="O30" sqref="O30"/>
    </sheetView>
  </sheetViews>
  <sheetFormatPr defaultRowHeight="15" x14ac:dyDescent="0.25"/>
  <cols>
    <col min="1" max="1" width="13.140625" bestFit="1" customWidth="1"/>
    <col min="2" max="2" width="12.140625" bestFit="1" customWidth="1"/>
    <col min="14" max="14" width="12.42578125" bestFit="1" customWidth="1"/>
    <col min="15" max="15" width="13.140625" bestFit="1" customWidth="1"/>
    <col min="16" max="16" width="12.140625" bestFit="1" customWidth="1"/>
    <col min="19" max="19" width="13.140625" bestFit="1" customWidth="1"/>
    <col min="20" max="20" width="12" bestFit="1" customWidth="1"/>
    <col min="21" max="21" width="12.140625" bestFit="1" customWidth="1"/>
    <col min="22" max="22" width="11.28515625" bestFit="1" customWidth="1"/>
    <col min="23" max="23" width="7" bestFit="1" customWidth="1"/>
    <col min="24" max="24" width="7.42578125" bestFit="1" customWidth="1"/>
    <col min="25" max="25" width="7.140625" bestFit="1" customWidth="1"/>
    <col min="26" max="26" width="12.28515625" bestFit="1" customWidth="1"/>
    <col min="27" max="27" width="6.5703125" bestFit="1" customWidth="1"/>
    <col min="28" max="28" width="11.28515625" bestFit="1" customWidth="1"/>
    <col min="29" max="29" width="8.85546875" bestFit="1" customWidth="1"/>
    <col min="30" max="30" width="6.85546875" bestFit="1" customWidth="1"/>
    <col min="31" max="31" width="9.85546875" bestFit="1" customWidth="1"/>
    <col min="32" max="32" width="6.85546875" bestFit="1" customWidth="1"/>
    <col min="33" max="33" width="9.85546875" bestFit="1" customWidth="1"/>
    <col min="34" max="34" width="7.85546875" bestFit="1" customWidth="1"/>
    <col min="35" max="35" width="10.85546875" bestFit="1" customWidth="1"/>
    <col min="36" max="36" width="7.85546875" bestFit="1" customWidth="1"/>
    <col min="37" max="37" width="10.85546875" bestFit="1" customWidth="1"/>
    <col min="38" max="38" width="7.85546875" bestFit="1" customWidth="1"/>
    <col min="39" max="39" width="10.85546875" bestFit="1" customWidth="1"/>
    <col min="40" max="40" width="7.85546875" bestFit="1" customWidth="1"/>
    <col min="41" max="41" width="10.85546875" bestFit="1" customWidth="1"/>
    <col min="42" max="42" width="7.85546875" bestFit="1" customWidth="1"/>
    <col min="43" max="43" width="10.85546875" bestFit="1" customWidth="1"/>
    <col min="44" max="44" width="7.85546875" bestFit="1" customWidth="1"/>
    <col min="45" max="45" width="10.85546875" bestFit="1" customWidth="1"/>
    <col min="46" max="46" width="11.28515625" bestFit="1" customWidth="1"/>
  </cols>
  <sheetData>
    <row r="3" spans="1:21" x14ac:dyDescent="0.25">
      <c r="A3" s="2" t="s">
        <v>37</v>
      </c>
      <c r="B3" t="s">
        <v>39</v>
      </c>
      <c r="O3" s="2" t="s">
        <v>37</v>
      </c>
      <c r="P3" t="s">
        <v>39</v>
      </c>
    </row>
    <row r="4" spans="1:21" x14ac:dyDescent="0.25">
      <c r="A4" s="3" t="s">
        <v>31</v>
      </c>
      <c r="B4" s="5">
        <v>53720</v>
      </c>
      <c r="O4" s="3" t="s">
        <v>30</v>
      </c>
      <c r="P4" s="5">
        <v>8140</v>
      </c>
    </row>
    <row r="5" spans="1:21" x14ac:dyDescent="0.25">
      <c r="A5" s="3" t="s">
        <v>33</v>
      </c>
      <c r="B5" s="5">
        <v>77020</v>
      </c>
      <c r="O5" s="3" t="s">
        <v>29</v>
      </c>
      <c r="P5" s="5">
        <v>430000</v>
      </c>
      <c r="S5" s="2" t="s">
        <v>37</v>
      </c>
      <c r="T5" t="s">
        <v>44</v>
      </c>
      <c r="U5" t="s">
        <v>39</v>
      </c>
    </row>
    <row r="6" spans="1:21" x14ac:dyDescent="0.25">
      <c r="A6" s="3" t="s">
        <v>34</v>
      </c>
      <c r="B6" s="5">
        <v>200000</v>
      </c>
      <c r="O6" s="3" t="s">
        <v>38</v>
      </c>
      <c r="P6" s="5">
        <v>438140</v>
      </c>
      <c r="Q6" t="s">
        <v>43</v>
      </c>
      <c r="S6" s="3" t="s">
        <v>23</v>
      </c>
      <c r="T6" s="5">
        <v>810</v>
      </c>
      <c r="U6" s="5">
        <v>2070</v>
      </c>
    </row>
    <row r="7" spans="1:21" x14ac:dyDescent="0.25">
      <c r="A7" s="3" t="s">
        <v>32</v>
      </c>
      <c r="B7" s="5">
        <v>2400</v>
      </c>
      <c r="S7" s="3" t="s">
        <v>27</v>
      </c>
      <c r="T7" s="5">
        <v>500</v>
      </c>
      <c r="U7" s="5">
        <v>1000</v>
      </c>
    </row>
    <row r="8" spans="1:21" x14ac:dyDescent="0.25">
      <c r="A8" s="3" t="s">
        <v>35</v>
      </c>
      <c r="B8" s="5">
        <v>105000</v>
      </c>
      <c r="S8" s="3" t="s">
        <v>26</v>
      </c>
      <c r="T8" s="5">
        <v>1500</v>
      </c>
      <c r="U8" s="5">
        <v>3000</v>
      </c>
    </row>
    <row r="9" spans="1:21" x14ac:dyDescent="0.25">
      <c r="A9" s="3" t="s">
        <v>38</v>
      </c>
      <c r="B9" s="5">
        <v>438140</v>
      </c>
      <c r="S9" s="3" t="s">
        <v>21</v>
      </c>
      <c r="T9" s="5">
        <v>190000</v>
      </c>
      <c r="U9" s="5">
        <v>255000</v>
      </c>
    </row>
    <row r="10" spans="1:21" x14ac:dyDescent="0.25">
      <c r="S10" s="3" t="s">
        <v>24</v>
      </c>
      <c r="T10" s="5">
        <v>70000</v>
      </c>
      <c r="U10" s="5">
        <v>70000</v>
      </c>
    </row>
    <row r="11" spans="1:21" x14ac:dyDescent="0.25">
      <c r="S11" s="3" t="s">
        <v>22</v>
      </c>
      <c r="T11" s="5">
        <v>1370</v>
      </c>
      <c r="U11" s="5">
        <v>2070</v>
      </c>
    </row>
    <row r="12" spans="1:21" x14ac:dyDescent="0.25">
      <c r="S12" s="3" t="s">
        <v>25</v>
      </c>
      <c r="T12" s="5">
        <v>5000</v>
      </c>
      <c r="U12" s="5">
        <v>15000</v>
      </c>
    </row>
    <row r="13" spans="1:21" x14ac:dyDescent="0.25">
      <c r="S13" s="3" t="s">
        <v>28</v>
      </c>
      <c r="T13" s="5">
        <v>30000</v>
      </c>
      <c r="U13" s="5">
        <v>90000</v>
      </c>
    </row>
    <row r="14" spans="1:21" x14ac:dyDescent="0.25">
      <c r="S14" s="3" t="s">
        <v>38</v>
      </c>
      <c r="T14" s="5">
        <v>299180</v>
      </c>
      <c r="U14" s="5">
        <v>438140</v>
      </c>
    </row>
    <row r="15" spans="1:21" x14ac:dyDescent="0.25">
      <c r="A15" s="2" t="s">
        <v>37</v>
      </c>
      <c r="B15" t="s">
        <v>39</v>
      </c>
    </row>
    <row r="16" spans="1:21" x14ac:dyDescent="0.25">
      <c r="A16" s="3" t="s">
        <v>23</v>
      </c>
      <c r="B16" s="5">
        <v>2070</v>
      </c>
    </row>
    <row r="17" spans="1:2" x14ac:dyDescent="0.25">
      <c r="A17" s="3" t="s">
        <v>27</v>
      </c>
      <c r="B17" s="5">
        <v>1000</v>
      </c>
    </row>
    <row r="18" spans="1:2" x14ac:dyDescent="0.25">
      <c r="A18" s="3" t="s">
        <v>26</v>
      </c>
      <c r="B18" s="5">
        <v>3000</v>
      </c>
    </row>
    <row r="19" spans="1:2" x14ac:dyDescent="0.25">
      <c r="A19" s="3" t="s">
        <v>21</v>
      </c>
      <c r="B19" s="5">
        <v>255000</v>
      </c>
    </row>
    <row r="20" spans="1:2" x14ac:dyDescent="0.25">
      <c r="A20" s="3" t="s">
        <v>24</v>
      </c>
      <c r="B20" s="5">
        <v>70000</v>
      </c>
    </row>
    <row r="21" spans="1:2" x14ac:dyDescent="0.25">
      <c r="A21" s="3" t="s">
        <v>22</v>
      </c>
      <c r="B21" s="5">
        <v>2070</v>
      </c>
    </row>
    <row r="22" spans="1:2" x14ac:dyDescent="0.25">
      <c r="A22" s="3" t="s">
        <v>25</v>
      </c>
      <c r="B22" s="5">
        <v>15000</v>
      </c>
    </row>
    <row r="23" spans="1:2" x14ac:dyDescent="0.25">
      <c r="A23" s="3" t="s">
        <v>28</v>
      </c>
      <c r="B23" s="5">
        <v>90000</v>
      </c>
    </row>
    <row r="24" spans="1:2" x14ac:dyDescent="0.25">
      <c r="A24" s="3" t="s">
        <v>38</v>
      </c>
      <c r="B24" s="5">
        <v>438140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CC9AF-C0EB-40B8-9933-D2A20F762488}">
  <dimension ref="A1:AC37"/>
  <sheetViews>
    <sheetView showGridLines="0" showRowColHeaders="0" tabSelected="1" workbookViewId="0">
      <selection activeCell="AB11" sqref="AB11"/>
    </sheetView>
  </sheetViews>
  <sheetFormatPr defaultRowHeight="15" x14ac:dyDescent="0.25"/>
  <sheetData>
    <row r="1" spans="1:29" x14ac:dyDescent="0.25">
      <c r="A1" s="4"/>
      <c r="B1" s="4"/>
      <c r="C1" s="4"/>
      <c r="D1" s="4"/>
      <c r="E1" s="4"/>
      <c r="F1" s="4"/>
      <c r="G1" s="4"/>
      <c r="H1" s="4"/>
      <c r="I1" s="4"/>
      <c r="J1" s="4"/>
      <c r="K1" s="4"/>
      <c r="L1" s="4"/>
      <c r="M1" s="4"/>
      <c r="N1" s="4"/>
      <c r="O1" s="4"/>
      <c r="P1" s="4"/>
      <c r="Q1" s="4"/>
      <c r="R1" s="4"/>
      <c r="S1" s="4"/>
      <c r="T1" s="4"/>
      <c r="U1" s="4"/>
      <c r="V1" s="4"/>
      <c r="W1" s="4"/>
      <c r="X1" s="4"/>
      <c r="Y1" s="4"/>
      <c r="Z1" s="4"/>
      <c r="AA1" s="4"/>
      <c r="AB1" s="4"/>
      <c r="AC1" s="4"/>
    </row>
    <row r="2" spans="1:29" x14ac:dyDescent="0.25">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x14ac:dyDescent="0.25">
      <c r="A3" s="4"/>
      <c r="B3" s="4"/>
      <c r="C3" s="4"/>
      <c r="D3" s="4"/>
      <c r="E3" s="4"/>
      <c r="F3" s="4"/>
      <c r="G3" s="4"/>
      <c r="H3" s="4"/>
      <c r="I3" s="4"/>
      <c r="J3" s="4"/>
      <c r="K3" s="4"/>
      <c r="L3" s="4"/>
      <c r="M3" s="4"/>
      <c r="N3" s="4"/>
      <c r="O3" s="4"/>
      <c r="P3" s="4"/>
      <c r="Q3" s="4"/>
      <c r="R3" s="4"/>
      <c r="S3" s="4"/>
      <c r="T3" s="4"/>
      <c r="U3" s="4"/>
      <c r="V3" s="4"/>
      <c r="W3" s="4"/>
      <c r="X3" s="4"/>
      <c r="Y3" s="4"/>
      <c r="Z3" s="4"/>
      <c r="AA3" s="4"/>
      <c r="AB3" s="4"/>
      <c r="AC3" s="4"/>
    </row>
    <row r="4" spans="1:29"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row>
    <row r="5" spans="1:29" x14ac:dyDescent="0.25">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x14ac:dyDescent="0.25">
      <c r="A6" s="4"/>
      <c r="B6" s="4"/>
      <c r="C6" s="4"/>
      <c r="D6" s="4"/>
      <c r="E6" s="4"/>
      <c r="F6" s="4"/>
      <c r="G6" s="4"/>
      <c r="H6" s="4"/>
      <c r="I6" s="4"/>
      <c r="J6" s="4"/>
      <c r="K6" s="4"/>
      <c r="L6" s="4"/>
      <c r="M6" s="4"/>
      <c r="N6" s="4"/>
      <c r="O6" s="4"/>
      <c r="P6" s="4"/>
      <c r="Q6" s="4"/>
      <c r="R6" s="4"/>
      <c r="S6" s="4"/>
      <c r="T6" s="4"/>
      <c r="U6" s="4"/>
      <c r="V6" s="4"/>
      <c r="W6" s="4"/>
      <c r="X6" s="4"/>
      <c r="Y6" s="4"/>
      <c r="Z6" s="4"/>
      <c r="AA6" s="4"/>
      <c r="AB6" s="4"/>
      <c r="AC6" s="4"/>
    </row>
    <row r="7" spans="1:29" x14ac:dyDescent="0.25">
      <c r="A7" s="4"/>
      <c r="B7" s="4"/>
      <c r="C7" s="4"/>
      <c r="D7" s="4"/>
      <c r="E7" s="4"/>
      <c r="F7" s="4"/>
      <c r="G7" s="4"/>
      <c r="H7" s="4"/>
      <c r="I7" s="4"/>
      <c r="J7" s="4"/>
      <c r="K7" s="4"/>
      <c r="L7" s="4"/>
      <c r="M7" s="4"/>
      <c r="N7" s="4"/>
      <c r="O7" s="4"/>
      <c r="P7" s="4"/>
      <c r="Q7" s="4"/>
      <c r="R7" s="4"/>
      <c r="S7" s="4"/>
      <c r="T7" s="4"/>
      <c r="U7" s="4"/>
      <c r="V7" s="4"/>
      <c r="W7" s="4"/>
      <c r="X7" s="4"/>
      <c r="Y7" s="4"/>
      <c r="Z7" s="4"/>
      <c r="AA7" s="4"/>
      <c r="AB7" s="4"/>
      <c r="AC7" s="4"/>
    </row>
    <row r="8" spans="1:29" x14ac:dyDescent="0.25">
      <c r="A8" s="4"/>
      <c r="B8" s="4"/>
      <c r="C8" s="4"/>
      <c r="D8" s="4"/>
      <c r="E8" s="4"/>
      <c r="F8" s="4"/>
      <c r="G8" s="4"/>
      <c r="H8" s="4"/>
      <c r="I8" s="4"/>
      <c r="J8" s="4"/>
      <c r="K8" s="4"/>
      <c r="L8" s="4"/>
      <c r="M8" s="4"/>
      <c r="N8" s="4"/>
      <c r="O8" s="4"/>
      <c r="P8" s="4"/>
      <c r="Q8" s="4"/>
      <c r="R8" s="4"/>
      <c r="S8" s="4"/>
      <c r="T8" s="4"/>
      <c r="U8" s="4"/>
      <c r="V8" s="4"/>
      <c r="W8" s="4"/>
      <c r="X8" s="4"/>
      <c r="Y8" s="4"/>
      <c r="Z8" s="4"/>
      <c r="AA8" s="4"/>
      <c r="AB8" s="4"/>
      <c r="AC8" s="4"/>
    </row>
    <row r="9" spans="1:29" x14ac:dyDescent="0.25">
      <c r="A9" s="4"/>
      <c r="B9" s="4"/>
      <c r="C9" s="4"/>
      <c r="D9" s="4"/>
      <c r="E9" s="4"/>
      <c r="F9" s="4"/>
      <c r="G9" s="4"/>
      <c r="H9" s="4"/>
      <c r="I9" s="4"/>
      <c r="J9" s="4"/>
      <c r="K9" s="4"/>
      <c r="L9" s="4"/>
      <c r="M9" s="4"/>
      <c r="N9" s="4"/>
      <c r="O9" s="4"/>
      <c r="P9" s="4"/>
      <c r="Q9" s="4"/>
      <c r="R9" s="4"/>
      <c r="S9" s="4"/>
      <c r="T9" s="4"/>
      <c r="U9" s="4"/>
      <c r="V9" s="4"/>
      <c r="W9" s="4"/>
      <c r="X9" s="4"/>
      <c r="Y9" s="4"/>
      <c r="Z9" s="4"/>
      <c r="AA9" s="4"/>
      <c r="AB9" s="4"/>
      <c r="AC9" s="4"/>
    </row>
    <row r="10" spans="1:29"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row>
    <row r="11" spans="1:29"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row>
    <row r="12" spans="1:29"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row>
    <row r="15" spans="1:29"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row>
    <row r="16" spans="1:29"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row>
    <row r="17" spans="1:29"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row>
    <row r="18" spans="1:29"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row>
    <row r="23" spans="1:29"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row>
    <row r="25" spans="1:29"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row>
    <row r="26" spans="1:29"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row>
    <row r="27" spans="1:29"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row>
    <row r="28" spans="1:29"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row>
    <row r="29" spans="1:29"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row>
    <row r="30" spans="1:29"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row>
    <row r="31" spans="1:29"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row>
    <row r="32" spans="1:29"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row>
    <row r="33" spans="1:29"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spans="1:29"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row>
    <row r="35" spans="1:29"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3309F-959E-4920-AA3C-83721252A595}">
  <dimension ref="A1:K17"/>
  <sheetViews>
    <sheetView workbookViewId="0">
      <selection sqref="A1:H14"/>
    </sheetView>
  </sheetViews>
  <sheetFormatPr defaultRowHeight="15" x14ac:dyDescent="0.25"/>
  <cols>
    <col min="1" max="1" width="10.140625" bestFit="1" customWidth="1"/>
    <col min="2" max="2" width="11" customWidth="1"/>
    <col min="3" max="3" width="11.5703125" bestFit="1" customWidth="1"/>
    <col min="4" max="4" width="10.42578125" bestFit="1" customWidth="1"/>
    <col min="5" max="5" width="10.140625" customWidth="1"/>
    <col min="7" max="7" width="11.7109375" bestFit="1" customWidth="1"/>
  </cols>
  <sheetData>
    <row r="1" spans="1:11" x14ac:dyDescent="0.25">
      <c r="A1" t="s">
        <v>1</v>
      </c>
      <c r="B1" t="s">
        <v>2</v>
      </c>
      <c r="C1" t="s">
        <v>3</v>
      </c>
      <c r="D1" t="s">
        <v>4</v>
      </c>
      <c r="E1" t="s">
        <v>5</v>
      </c>
      <c r="F1" t="s">
        <v>6</v>
      </c>
      <c r="G1" t="s">
        <v>7</v>
      </c>
      <c r="H1" t="s">
        <v>36</v>
      </c>
    </row>
    <row r="2" spans="1:11" x14ac:dyDescent="0.25">
      <c r="A2" s="1">
        <f ca="1">TODAY()</f>
        <v>46181</v>
      </c>
      <c r="B2" t="s">
        <v>8</v>
      </c>
      <c r="C2" t="s">
        <v>21</v>
      </c>
      <c r="D2" t="s">
        <v>29</v>
      </c>
      <c r="E2">
        <v>1</v>
      </c>
      <c r="F2">
        <v>50000</v>
      </c>
      <c r="G2" t="s">
        <v>31</v>
      </c>
      <c r="H2">
        <f>E2*F2</f>
        <v>50000</v>
      </c>
    </row>
    <row r="3" spans="1:11" x14ac:dyDescent="0.25">
      <c r="A3" s="1">
        <v>46181</v>
      </c>
      <c r="B3" t="s">
        <v>12</v>
      </c>
      <c r="C3" t="s">
        <v>22</v>
      </c>
      <c r="D3" t="s">
        <v>30</v>
      </c>
      <c r="E3">
        <v>2</v>
      </c>
      <c r="F3">
        <v>700</v>
      </c>
      <c r="G3" t="s">
        <v>32</v>
      </c>
      <c r="H3">
        <f t="shared" ref="H3:H14" si="0">E3*F3</f>
        <v>1400</v>
      </c>
    </row>
    <row r="4" spans="1:11" x14ac:dyDescent="0.25">
      <c r="A4" s="1">
        <v>46181</v>
      </c>
      <c r="B4" t="s">
        <v>9</v>
      </c>
      <c r="C4" t="s">
        <v>23</v>
      </c>
      <c r="D4" t="s">
        <v>30</v>
      </c>
      <c r="E4">
        <v>3</v>
      </c>
      <c r="F4">
        <v>450</v>
      </c>
      <c r="G4" t="s">
        <v>33</v>
      </c>
      <c r="H4">
        <f t="shared" si="0"/>
        <v>1350</v>
      </c>
    </row>
    <row r="5" spans="1:11" x14ac:dyDescent="0.25">
      <c r="A5" s="1">
        <v>46183</v>
      </c>
      <c r="B5" t="s">
        <v>10</v>
      </c>
      <c r="C5" t="s">
        <v>24</v>
      </c>
      <c r="D5" t="s">
        <v>29</v>
      </c>
      <c r="E5">
        <v>1</v>
      </c>
      <c r="F5">
        <v>25000</v>
      </c>
      <c r="G5" t="s">
        <v>34</v>
      </c>
      <c r="H5">
        <f t="shared" si="0"/>
        <v>25000</v>
      </c>
    </row>
    <row r="6" spans="1:11" x14ac:dyDescent="0.25">
      <c r="A6" s="1">
        <v>46184</v>
      </c>
      <c r="B6" t="s">
        <v>11</v>
      </c>
      <c r="C6" t="s">
        <v>25</v>
      </c>
      <c r="D6" t="s">
        <v>29</v>
      </c>
      <c r="E6">
        <v>3</v>
      </c>
      <c r="F6">
        <v>5000</v>
      </c>
      <c r="G6" t="s">
        <v>35</v>
      </c>
      <c r="H6">
        <f t="shared" si="0"/>
        <v>15000</v>
      </c>
    </row>
    <row r="7" spans="1:11" x14ac:dyDescent="0.25">
      <c r="A7" s="1">
        <v>46185</v>
      </c>
      <c r="B7" t="s">
        <v>13</v>
      </c>
      <c r="C7" t="s">
        <v>26</v>
      </c>
      <c r="D7" t="s">
        <v>30</v>
      </c>
      <c r="E7">
        <v>2</v>
      </c>
      <c r="F7">
        <v>1500</v>
      </c>
      <c r="G7" t="s">
        <v>31</v>
      </c>
      <c r="H7">
        <f t="shared" si="0"/>
        <v>3000</v>
      </c>
    </row>
    <row r="8" spans="1:11" x14ac:dyDescent="0.25">
      <c r="A8" s="1">
        <v>46185</v>
      </c>
      <c r="B8" t="s">
        <v>14</v>
      </c>
      <c r="C8" t="s">
        <v>24</v>
      </c>
      <c r="D8" t="s">
        <v>29</v>
      </c>
      <c r="E8">
        <v>1</v>
      </c>
      <c r="F8">
        <v>45000</v>
      </c>
      <c r="G8" t="s">
        <v>34</v>
      </c>
      <c r="H8">
        <f t="shared" si="0"/>
        <v>45000</v>
      </c>
    </row>
    <row r="9" spans="1:11" x14ac:dyDescent="0.25">
      <c r="A9" s="1">
        <v>46187</v>
      </c>
      <c r="B9" t="s">
        <v>15</v>
      </c>
      <c r="C9" t="s">
        <v>21</v>
      </c>
      <c r="D9" t="s">
        <v>29</v>
      </c>
      <c r="E9">
        <v>1</v>
      </c>
      <c r="F9">
        <v>75000</v>
      </c>
      <c r="G9" t="s">
        <v>33</v>
      </c>
      <c r="H9">
        <f t="shared" si="0"/>
        <v>75000</v>
      </c>
      <c r="K9" t="s">
        <v>0</v>
      </c>
    </row>
    <row r="10" spans="1:11" x14ac:dyDescent="0.25">
      <c r="A10" s="1">
        <v>46188</v>
      </c>
      <c r="B10" t="s">
        <v>16</v>
      </c>
      <c r="C10" t="s">
        <v>27</v>
      </c>
      <c r="D10" t="s">
        <v>30</v>
      </c>
      <c r="E10">
        <v>2</v>
      </c>
      <c r="F10">
        <v>500</v>
      </c>
      <c r="G10" t="s">
        <v>32</v>
      </c>
      <c r="H10">
        <f t="shared" si="0"/>
        <v>1000</v>
      </c>
    </row>
    <row r="11" spans="1:11" x14ac:dyDescent="0.25">
      <c r="A11" s="1">
        <v>46189</v>
      </c>
      <c r="B11" t="s">
        <v>17</v>
      </c>
      <c r="C11" t="s">
        <v>28</v>
      </c>
      <c r="D11" t="s">
        <v>29</v>
      </c>
      <c r="E11">
        <v>3</v>
      </c>
      <c r="F11">
        <v>30000</v>
      </c>
      <c r="G11" t="s">
        <v>35</v>
      </c>
      <c r="H11">
        <f t="shared" si="0"/>
        <v>90000</v>
      </c>
    </row>
    <row r="12" spans="1:11" x14ac:dyDescent="0.25">
      <c r="A12" s="1">
        <v>46189</v>
      </c>
      <c r="B12" t="s">
        <v>18</v>
      </c>
      <c r="C12" t="s">
        <v>22</v>
      </c>
      <c r="D12" t="s">
        <v>30</v>
      </c>
      <c r="E12">
        <v>1</v>
      </c>
      <c r="F12">
        <v>670</v>
      </c>
      <c r="G12" t="s">
        <v>33</v>
      </c>
      <c r="H12">
        <f t="shared" si="0"/>
        <v>670</v>
      </c>
    </row>
    <row r="13" spans="1:11" x14ac:dyDescent="0.25">
      <c r="A13" s="1">
        <v>46191</v>
      </c>
      <c r="B13" t="s">
        <v>19</v>
      </c>
      <c r="C13" t="s">
        <v>23</v>
      </c>
      <c r="D13" t="s">
        <v>30</v>
      </c>
      <c r="E13">
        <v>2</v>
      </c>
      <c r="F13">
        <v>360</v>
      </c>
      <c r="G13" t="s">
        <v>31</v>
      </c>
      <c r="H13">
        <f t="shared" si="0"/>
        <v>720</v>
      </c>
    </row>
    <row r="14" spans="1:11" x14ac:dyDescent="0.25">
      <c r="A14" s="1">
        <v>46192</v>
      </c>
      <c r="B14" t="s">
        <v>20</v>
      </c>
      <c r="C14" t="s">
        <v>21</v>
      </c>
      <c r="D14" t="s">
        <v>29</v>
      </c>
      <c r="E14">
        <v>2</v>
      </c>
      <c r="F14">
        <v>65000</v>
      </c>
      <c r="G14" t="s">
        <v>34</v>
      </c>
      <c r="H14">
        <f t="shared" si="0"/>
        <v>130000</v>
      </c>
    </row>
    <row r="15" spans="1:11" x14ac:dyDescent="0.25">
      <c r="A15" s="1"/>
      <c r="G15" t="s">
        <v>40</v>
      </c>
      <c r="H15">
        <f>SUM(Table1[Sales])</f>
        <v>438140</v>
      </c>
    </row>
    <row r="16" spans="1:11" x14ac:dyDescent="0.25">
      <c r="G16" t="s">
        <v>41</v>
      </c>
      <c r="H16">
        <f>COUNTA(Table1[Product])</f>
        <v>13</v>
      </c>
    </row>
    <row r="17" spans="7:8" x14ac:dyDescent="0.25">
      <c r="G17" t="s">
        <v>42</v>
      </c>
      <c r="H17">
        <f>MAX(Table1[Sales])</f>
        <v>130000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RUSHALINI DAMPETLA</dc:creator>
  <cp:lastModifiedBy>MITS</cp:lastModifiedBy>
  <dcterms:created xsi:type="dcterms:W3CDTF">2026-06-07T15:42:31Z</dcterms:created>
  <dcterms:modified xsi:type="dcterms:W3CDTF">2026-06-08T05:59:47Z</dcterms:modified>
</cp:coreProperties>
</file>