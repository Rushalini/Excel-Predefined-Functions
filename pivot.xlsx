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13_ncr:1_{D38C5F4C-26DC-4952-9CAC-45E8567CCF84}" xr6:coauthVersionLast="47" xr6:coauthVersionMax="47" xr10:uidLastSave="{00000000-0000-0000-0000-000000000000}"/>
  <bookViews>
    <workbookView xWindow="-120" yWindow="-120" windowWidth="29040" windowHeight="15720" xr2:uid="{508625C0-CAAC-4C76-8738-43D60AD2A5B7}"/>
  </bookViews>
  <sheets>
    <sheet name="Sheet12" sheetId="12" r:id="rId1"/>
    <sheet name="Sheet14" sheetId="14" r:id="rId2"/>
    <sheet name="Sheet1" sheetId="1" r:id="rId3"/>
    <sheet name="Sheet15" sheetId="15" r:id="rId4"/>
  </sheets>
  <definedNames>
    <definedName name="_xlcn.WorksheetConnection_Sheet1A1R301" hidden="1">Sheet1!$A$1:$R$30</definedName>
    <definedName name="_xlcn.WorksheetConnection_Sheet1SS1" hidden="1">Sheet1!$S:$S</definedName>
    <definedName name="Slicer_Age_Bins">#N/A</definedName>
    <definedName name="Slicer_Card_Type1">#N/A</definedName>
    <definedName name="Slicer_Geography">#N/A</definedName>
    <definedName name="Slicer_Geography1">#N/A</definedName>
    <definedName name="Slicer_HasCrCard">#N/A</definedName>
  </definedNames>
  <calcPr calcId="191029"/>
  <pivotCaches>
    <pivotCache cacheId="310" r:id="rId5"/>
    <pivotCache cacheId="275" r:id="rId6"/>
    <pivotCache cacheId="288" r:id="rId7"/>
    <pivotCache cacheId="445" r:id="rId8"/>
  </pivotCaches>
  <extLst>
    <ext xmlns:x14="http://schemas.microsoft.com/office/spreadsheetml/2009/9/main" uri="{876F7934-8845-4945-9796-88D515C7AA90}">
      <x14:pivotCaches>
        <pivotCache cacheId="221"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heet1!$S:$S"/>
          <x15:modelTable id="Range" name="Range" connection="WorksheetConnection_Sheet1!$A$1:$R$3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a="1"/>
  <c r="S3" i="1" s="1"/>
  <c r="S4" i="1" a="1"/>
  <c r="S4" i="1"/>
  <c r="S5" i="1" a="1"/>
  <c r="S5" i="1"/>
  <c r="S6" i="1" a="1"/>
  <c r="S6" i="1"/>
  <c r="S7" i="1" a="1"/>
  <c r="S7" i="1"/>
  <c r="S8" i="1" a="1"/>
  <c r="S8" i="1"/>
  <c r="S9" i="1" a="1"/>
  <c r="S9" i="1"/>
  <c r="S10" i="1" a="1"/>
  <c r="S10" i="1"/>
  <c r="S11" i="1" a="1"/>
  <c r="S11" i="1"/>
  <c r="S12" i="1" a="1"/>
  <c r="S12" i="1"/>
  <c r="S13" i="1" a="1"/>
  <c r="S13" i="1"/>
  <c r="S14" i="1" a="1"/>
  <c r="S14" i="1"/>
  <c r="S15" i="1" a="1"/>
  <c r="S15" i="1"/>
  <c r="S16" i="1" a="1"/>
  <c r="S16" i="1"/>
  <c r="S17" i="1" a="1"/>
  <c r="S17" i="1"/>
  <c r="S18" i="1" a="1"/>
  <c r="S18" i="1"/>
  <c r="S19" i="1" a="1"/>
  <c r="S19" i="1" s="1"/>
  <c r="S20" i="1" a="1"/>
  <c r="S20" i="1"/>
  <c r="S21" i="1" a="1"/>
  <c r="S21" i="1"/>
  <c r="S22" i="1" a="1"/>
  <c r="S22" i="1"/>
  <c r="S23" i="1" a="1"/>
  <c r="S23" i="1"/>
  <c r="S24" i="1" a="1"/>
  <c r="S24" i="1"/>
  <c r="S25" i="1" a="1"/>
  <c r="S25" i="1"/>
  <c r="S26" i="1" a="1"/>
  <c r="S26" i="1"/>
  <c r="S27" i="1" a="1"/>
  <c r="S27" i="1"/>
  <c r="S28" i="1" a="1"/>
  <c r="S28" i="1"/>
  <c r="S29" i="1" a="1"/>
  <c r="S29" i="1"/>
  <c r="S30" i="1" a="1"/>
  <c r="S30" i="1"/>
  <c r="S2" i="1" a="1"/>
  <c r="S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08E68-988C-4592-AED8-856AA3FF51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D10F32-C831-473B-8D37-3D75E5F035C2}" name="WorksheetConnection_Sheet1!$A$1:$R$30" type="102" refreshedVersion="8" minRefreshableVersion="5">
    <extLst>
      <ext xmlns:x15="http://schemas.microsoft.com/office/spreadsheetml/2010/11/main" uri="{DE250136-89BD-433C-8126-D09CA5730AF9}">
        <x15:connection id="Range" autoDelete="1">
          <x15:rangePr sourceName="_xlcn.WorksheetConnection_Sheet1A1R301"/>
        </x15:connection>
      </ext>
    </extLst>
  </connection>
  <connection id="3" xr16:uid="{9EDD3532-D198-429B-AB9D-2751DCC75F51}" name="WorksheetConnection_Sheet1!$S:$S" type="102" refreshedVersion="8" minRefreshableVersion="5">
    <extLst>
      <ext xmlns:x15="http://schemas.microsoft.com/office/spreadsheetml/2010/11/main" uri="{DE250136-89BD-433C-8126-D09CA5730AF9}">
        <x15:connection id="Range 1" autoDelete="1">
          <x15:rangePr sourceName="_xlcn.WorksheetConnection_Sheet1S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<sst xmlns="http://schemas.openxmlformats.org/spreadsheetml/2006/main" count="176" uniqueCount="68">
  <si>
    <t>Gender</t>
  </si>
  <si>
    <t>Age</t>
  </si>
  <si>
    <t>Tenure</t>
  </si>
  <si>
    <t>Female</t>
  </si>
  <si>
    <t>Male</t>
  </si>
  <si>
    <t>CreditScore</t>
  </si>
  <si>
    <t>Geography</t>
  </si>
  <si>
    <t>France</t>
  </si>
  <si>
    <t>Spain</t>
  </si>
  <si>
    <t>Germany</t>
  </si>
  <si>
    <t>EstimatedSalary</t>
  </si>
  <si>
    <t>RowNumber</t>
  </si>
  <si>
    <t>CustomerId</t>
  </si>
  <si>
    <t>Surname</t>
  </si>
  <si>
    <t>Balance</t>
  </si>
  <si>
    <t>NumOfProducts</t>
  </si>
  <si>
    <t>HasCrCard</t>
  </si>
  <si>
    <t>IsActiveMember</t>
  </si>
  <si>
    <t>Exited</t>
  </si>
  <si>
    <t>Complain</t>
  </si>
  <si>
    <t>Satisfaction Score</t>
  </si>
  <si>
    <t>Card Type</t>
  </si>
  <si>
    <t>Point Earned</t>
  </si>
  <si>
    <t>Hargrave</t>
  </si>
  <si>
    <t>DIAMOND</t>
  </si>
  <si>
    <t>Hill</t>
  </si>
  <si>
    <t>Onio</t>
  </si>
  <si>
    <t>Boni</t>
  </si>
  <si>
    <t>GOLD</t>
  </si>
  <si>
    <t>Mitchell</t>
  </si>
  <si>
    <t>Chu</t>
  </si>
  <si>
    <t>Bartlett</t>
  </si>
  <si>
    <t>SILVER</t>
  </si>
  <si>
    <t>Obinna</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</si>
  <si>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</si>
  <si>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</si>
  <si>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</si>
  <si>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</si>
  <si>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</si>
  <si>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</si>
  <si>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</si>
  <si>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</si>
  <si>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</si>
  <si>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</si>
  <si>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</si>
  <si>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</si>
  <si>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</si>
  <si>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</si>
  <si>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</si>
  <si>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</si>
  <si>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</si>
  <si>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</si>
  <si>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</si>
  <si>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</si>
  <si>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</si>
  <si>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</si>
  <si>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Row Labels</t>
  </si>
  <si>
    <t>Grand Total</t>
  </si>
  <si>
    <t>Sum of Balance</t>
  </si>
  <si>
    <t>Column Labels</t>
  </si>
  <si>
    <t>Average of EstimatedSalary</t>
  </si>
  <si>
    <t>(blank)</t>
  </si>
  <si>
    <t>Age Bins</t>
  </si>
  <si>
    <t>21-30</t>
  </si>
  <si>
    <t>31-40</t>
  </si>
  <si>
    <t>41+</t>
  </si>
  <si>
    <t>Max of Age</t>
  </si>
  <si>
    <t>Sum of NumOfProducts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</si>
</sst>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[pivot.xlsx]Sheet12!PivotTable14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Sheet12!$A$4:$A$8</c:f>
              <c:strCache>
                <c:ptCount val="4"/>
                <c:pt idx="0">
                  <c:v>(blank)</c:v>
                </c:pt>
                <c:pt idx="1">
                  <c:v>21-30</c:v>
                </c:pt>
                <c:pt idx="2">
                  <c:v>31-40</c:v>
                </c:pt>
                <c:pt idx="3">
                  <c:v>41+</c:v>
                </c:pt>
              </c:strCache>
            </c:strRef>
          </c:cat>
          <c:val>
            <c:numRef>
              <c:f>Sheet12!$B$4:$B$8</c:f>
              <c:numCache>
                <c:formatCode>General</c:formatCode>
                <c:ptCount val="4"/>
                <c:pt idx="0">
                  <c:v>58</c:v>
                </c:pt>
                <c:pt idx="1">
                  <c:v>58</c:v>
                </c:pt>
                <c:pt idx="2">
                  <c:v>58</c:v>
                </c:pt>
                <c:pt idx="3">
                  <c:v>58</c:v>
                </c:pt>
              </c:numCache>
            </c:numRef>
          </c:val>
          <c:extLst>
            <c:ext xmlns:c16="http://schemas.microsoft.com/office/drawing/2014/chart" uri="{C3380CC4-5D6E-409C-BE32-E72D297353CC}">
              <c16:uniqueId val="{00000000-3551-47E8-93C5-789681FACE3A}"/>
            </c:ext>
          </c:extLst>
        </c:ser>
        <c:dLbls>
          <c:showLegendKey val="0"/>
          <c:showVal val="0"/>
          <c:showCatName val="0"/>
          <c:showSerName val="0"/>
          <c:showPercent val="0"/>
          <c:showBubbleSize val="0"/>
        </c:dLbls>
        <c:gapWidth val="219"/>
        <c:overlap val="-27"/>
        <c:axId val="1681904560"/>
        <c:axId val="1681894000"/>
      </c:barChart>
      <c:catAx>
        <c:axId val="16819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94000"/>
        <c:crosses val="autoZero"/>
        <c:auto val="1"/>
        <c:lblAlgn val="ctr"/>
        <c:lblOffset val="100"/>
        <c:noMultiLvlLbl val="0"/>
      </c:catAx>
      <c:valAx>
        <c:axId val="16818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0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[pivot.xlsx]Sheet12!PivotTable17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6107207259238"/>
          <c:y val="0.12928229272325381"/>
          <c:w val="0.66272490999749722"/>
          <c:h val="0.65674305364189101"/>
        </c:manualLayout>
      </c:layout>
      <c:barChart>
        <c:barDir val="col"/>
        <c:grouping val="clustered"/>
        <c:varyColors val="0"/>
        <c:ser>
          <c:idx val="0"/>
          <c:order val="0"/>
          <c:tx>
            <c:strRef>
              <c:f>Sheet12!$E$3:$E$4</c:f>
              <c:strCache>
                <c:ptCount val="1"/>
                <c:pt idx="0">
                  <c:v>Female</c:v>
                </c:pt>
              </c:strCache>
            </c:strRef>
          </c:tx>
          <c:spPr>
            <a:solidFill>
              <a:schemeClr val="accent1"/>
            </a:solidFill>
            <a:ln>
              <a:noFill/>
            </a:ln>
            <a:effectLst/>
          </c:spPr>
          <c:invertIfNegative val="0"/>
          <c:cat>
            <c:strRef>
              <c:f>Sheet12!$D$5:$D$8</c:f>
              <c:strCache>
                <c:ptCount val="3"/>
                <c:pt idx="0">
                  <c:v>France</c:v>
                </c:pt>
                <c:pt idx="1">
                  <c:v>Germany</c:v>
                </c:pt>
                <c:pt idx="2">
                  <c:v>Spain</c:v>
                </c:pt>
              </c:strCache>
            </c:strRef>
          </c:cat>
          <c:val>
            <c:numRef>
              <c:f>Sheet12!$E$5:$E$8</c:f>
              <c:numCache>
                <c:formatCode>General</c:formatCode>
                <c:ptCount val="3"/>
                <c:pt idx="0">
                  <c:v>96776.323999999993</c:v>
                </c:pt>
                <c:pt idx="1">
                  <c:v>109767.155</c:v>
                </c:pt>
                <c:pt idx="2">
                  <c:v>83382.23</c:v>
                </c:pt>
              </c:numCache>
            </c:numRef>
          </c:val>
          <c:extLst>
            <c:ext xmlns:c16="http://schemas.microsoft.com/office/drawing/2014/chart" uri="{C3380CC4-5D6E-409C-BE32-E72D297353CC}">
              <c16:uniqueId val="{00000000-BDBA-4233-8366-BAF93FED2161}"/>
            </c:ext>
          </c:extLst>
        </c:ser>
        <c:ser>
          <c:idx val="1"/>
          <c:order val="1"/>
          <c:tx>
            <c:strRef>
              <c:f>Sheet12!$F$3:$F$4</c:f>
              <c:strCache>
                <c:ptCount val="1"/>
                <c:pt idx="0">
                  <c:v>Male</c:v>
                </c:pt>
              </c:strCache>
            </c:strRef>
          </c:tx>
          <c:spPr>
            <a:solidFill>
              <a:schemeClr val="accent2"/>
            </a:solidFill>
            <a:ln>
              <a:noFill/>
            </a:ln>
            <a:effectLst/>
          </c:spPr>
          <c:invertIfNegative val="0"/>
          <c:cat>
            <c:strRef>
              <c:f>Sheet12!$D$5:$D$8</c:f>
              <c:strCache>
                <c:ptCount val="3"/>
                <c:pt idx="0">
                  <c:v>France</c:v>
                </c:pt>
                <c:pt idx="1">
                  <c:v>Germany</c:v>
                </c:pt>
                <c:pt idx="2">
                  <c:v>Spain</c:v>
                </c:pt>
              </c:strCache>
            </c:strRef>
          </c:cat>
          <c:val>
            <c:numRef>
              <c:f>Sheet12!$F$5:$F$8</c:f>
              <c:numCache>
                <c:formatCode>General</c:formatCode>
                <c:ptCount val="3"/>
                <c:pt idx="0">
                  <c:v>84224.900000000009</c:v>
                </c:pt>
                <c:pt idx="1">
                  <c:v>87569.810000000012</c:v>
                </c:pt>
                <c:pt idx="2">
                  <c:v>113073.35999999999</c:v>
                </c:pt>
              </c:numCache>
            </c:numRef>
          </c:val>
          <c:extLst>
            <c:ext xmlns:c16="http://schemas.microsoft.com/office/drawing/2014/chart" uri="{C3380CC4-5D6E-409C-BE32-E72D297353CC}">
              <c16:uniqueId val="{00000001-BDBA-4233-8366-BAF93FED2161}"/>
            </c:ext>
          </c:extLst>
        </c:ser>
        <c:dLbls>
          <c:showLegendKey val="0"/>
          <c:showVal val="0"/>
          <c:showCatName val="0"/>
          <c:showSerName val="0"/>
          <c:showPercent val="0"/>
          <c:showBubbleSize val="0"/>
        </c:dLbls>
        <c:gapWidth val="219"/>
        <c:overlap val="-27"/>
        <c:axId val="1681910800"/>
        <c:axId val="1681900240"/>
      </c:barChart>
      <c:catAx>
        <c:axId val="16819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00240"/>
        <c:crosses val="autoZero"/>
        <c:auto val="1"/>
        <c:lblAlgn val="ctr"/>
        <c:lblOffset val="100"/>
        <c:noMultiLvlLbl val="0"/>
      </c:catAx>
      <c:valAx>
        <c:axId val="16819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[pivot.xlsx]Sheet12!PivotTable20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4304347085875"/>
          <c:y val="0.23843823636673964"/>
          <c:w val="0.49851978008881948"/>
          <c:h val="0.64720171941186033"/>
        </c:manualLayout>
      </c:layout>
      <c:doughnutChart>
        <c:varyColors val="1"/>
        <c:ser>
          <c:idx val="0"/>
          <c:order val="0"/>
          <c:tx>
            <c:strRef>
              <c:f>Sheet12!$M$3</c:f>
              <c:strCache>
                <c:ptCount val="1"/>
                <c:pt idx="0">
                  <c:v>Total</c:v>
                </c:pt>
              </c:strCache>
            </c:strRef>
          </c:tx>
          <c:dPt>
            <c:idx val="0"/>
            <c:bubble3D val="0"/>
            <c:spPr>
              <a:solidFill>
                <a:schemeClr val="accent1"/>
              </a:solidFill>
              <a:ln w="19050">
                <a:solidFill>
                  <a:schemeClr val="lt1"/>
                </a:solidFill>
              </a:ln>
              <a:effectLst/>
            </c:spPr>
          </c:dPt>
          <c:cat>
            <c:strRef>
              <c:f>Sheet12!$L$4:$L$5</c:f>
              <c:strCache>
                <c:ptCount val="1"/>
                <c:pt idx="0">
                  <c:v>Spain</c:v>
                </c:pt>
              </c:strCache>
            </c:strRef>
          </c:cat>
          <c:val>
            <c:numRef>
              <c:f>Sheet12!$M$4:$M$5</c:f>
              <c:numCache>
                <c:formatCode>General</c:formatCode>
                <c:ptCount val="1"/>
                <c:pt idx="0">
                  <c:v>14</c:v>
                </c:pt>
              </c:numCache>
            </c:numRef>
          </c:val>
          <c:extLst>
            <c:ext xmlns:c16="http://schemas.microsoft.com/office/drawing/2014/chart" uri="{C3380CC4-5D6E-409C-BE32-E72D297353CC}">
              <c16:uniqueId val="{00000000-EFEE-4CCE-972F-716E801D34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9</xdr:row>
      <xdr:rowOff>161925</xdr:rowOff>
    </xdr:from>
    <xdr:to>
      <xdr:col>2</xdr:col>
      <xdr:colOff>438150</xdr:colOff>
      <xdr:row>19</xdr:row>
      <xdr:rowOff>0</xdr:rowOff>
    </xdr:to>
    <mc:AlternateContent xmlns:mc="http://schemas.openxmlformats.org/markup-compatibility/2006">
      <mc:Choice xmlns:a14="http://schemas.microsoft.com/office/drawing/2010/main" Requires="a14">
        <xdr:graphicFrame macro="">
          <xdr:nvGraphicFramePr>
            <xdr:cNvPr id="3" name="Age Bins">
              <a:extLst>
                <a:ext uri="{FF2B5EF4-FFF2-40B4-BE49-F238E27FC236}">
                  <a16:creationId xmlns:a16="http://schemas.microsoft.com/office/drawing/2014/main" id="{F48958B8-9C4A-9642-6639-1B45DD4477C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ge Bins"/>
            </a:graphicData>
          </a:graphic>
        </xdr:graphicFrame>
      </mc:Choice>
      <mc:Fallback>
        <xdr:sp macro="" textlink="">
          <xdr:nvSpPr>
            <xdr:cNvPr id="0" name=""/>
            <xdr:cNvSpPr>
              <a:spLocks noTextEdit="1"/>
            </xdr:cNvSpPr>
          </xdr:nvSpPr>
          <xdr:spPr>
            <a:xfrm>
              <a:off x="219075" y="187642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1</xdr:row>
      <xdr:rowOff>180976</xdr:rowOff>
    </xdr:from>
    <xdr:to>
      <xdr:col>9</xdr:col>
      <xdr:colOff>581025</xdr:colOff>
      <xdr:row>7</xdr:row>
      <xdr:rowOff>66676</xdr:rowOff>
    </xdr:to>
    <mc:AlternateContent xmlns:mc="http://schemas.openxmlformats.org/markup-compatibility/2006">
      <mc:Choice xmlns:a14="http://schemas.microsoft.com/office/drawing/2010/main" Requires="a14">
        <xdr:graphicFrame macro="">
          <xdr:nvGraphicFramePr>
            <xdr:cNvPr id="4" name="HasCrCard">
              <a:extLst>
                <a:ext uri="{FF2B5EF4-FFF2-40B4-BE49-F238E27FC236}">
                  <a16:creationId xmlns:a16="http://schemas.microsoft.com/office/drawing/2014/main" id="{063B0C2B-FC6F-BC69-B2E8-A125611CB97D}"/>
                </a:ext>
              </a:extLst>
            </xdr:cNvPr>
            <xdr:cNvGraphicFramePr/>
          </xdr:nvGraphicFramePr>
          <xdr:xfrm>
            <a:off x="0" y="0"/>
            <a:ext cx="0" cy="0"/>
          </xdr:xfrm>
          <a:graphic>
            <a:graphicData uri="http://schemas.microsoft.com/office/drawing/2010/slicer">
              <sle:slicer xmlns:sle="http://schemas.microsoft.com/office/drawing/2010/slicer" name="HasCrCard"/>
            </a:graphicData>
          </a:graphic>
        </xdr:graphicFrame>
      </mc:Choice>
      <mc:Fallback>
        <xdr:sp macro="" textlink="">
          <xdr:nvSpPr>
            <xdr:cNvPr id="0" name=""/>
            <xdr:cNvSpPr>
              <a:spLocks noTextEdit="1"/>
            </xdr:cNvSpPr>
          </xdr:nvSpPr>
          <xdr:spPr>
            <a:xfrm>
              <a:off x="7486650" y="371476"/>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766762</xdr:colOff>
      <xdr:row>19</xdr:row>
      <xdr:rowOff>9524</xdr:rowOff>
    </xdr:from>
    <xdr:to>
      <xdr:col>7</xdr:col>
      <xdr:colOff>152400</xdr:colOff>
      <xdr:row>33</xdr:row>
      <xdr:rowOff>61911</xdr:rowOff>
    </xdr:to>
    <xdr:graphicFrame macro="">
      <xdr:nvGraphicFramePr>
        <xdr:cNvPr id="5" name="Chart 4">
          <a:extLst>
            <a:ext uri="{FF2B5EF4-FFF2-40B4-BE49-F238E27FC236}">
              <a16:creationId xmlns:a16="http://schemas.microsoft.com/office/drawing/2014/main" id="{B46DC615-D4F4-5DE9-09F2-3F89C720B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9</xdr:row>
      <xdr:rowOff>95250</xdr:rowOff>
    </xdr:from>
    <xdr:to>
      <xdr:col>12</xdr:col>
      <xdr:colOff>171450</xdr:colOff>
      <xdr:row>23</xdr:row>
      <xdr:rowOff>157162</xdr:rowOff>
    </xdr:to>
    <xdr:graphicFrame macro="">
      <xdr:nvGraphicFramePr>
        <xdr:cNvPr id="6" name="Chart 5">
          <a:extLst>
            <a:ext uri="{FF2B5EF4-FFF2-40B4-BE49-F238E27FC236}">
              <a16:creationId xmlns:a16="http://schemas.microsoft.com/office/drawing/2014/main" id="{934B0A7C-5B74-5C68-C035-4AECB7212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209550</xdr:colOff>
      <xdr:row>24</xdr:row>
      <xdr:rowOff>76201</xdr:rowOff>
    </xdr:from>
    <xdr:to>
      <xdr:col>13</xdr:col>
      <xdr:colOff>561975</xdr:colOff>
      <xdr:row>32</xdr:row>
      <xdr:rowOff>38101</xdr:rowOff>
    </xdr:to>
    <mc:AlternateContent xmlns:mc="http://schemas.openxmlformats.org/markup-compatibility/2006">
      <mc:Choice xmlns:a14="http://schemas.microsoft.com/office/drawing/2010/main" Requires="a14">
        <xdr:graphicFrame macro="">
          <xdr:nvGraphicFramePr>
            <xdr:cNvPr id="7" name="Card Type 1">
              <a:extLst>
                <a:ext uri="{FF2B5EF4-FFF2-40B4-BE49-F238E27FC236}">
                  <a16:creationId xmlns:a16="http://schemas.microsoft.com/office/drawing/2014/main" id="{D2334A4D-7BF5-8C4E-F254-729D8560C5C1}"/>
                </a:ext>
              </a:extLst>
            </xdr:cNvPr>
            <xdr:cNvGraphicFramePr/>
          </xdr:nvGraphicFramePr>
          <xdr:xfrm>
            <a:off x="0" y="0"/>
            <a:ext cx="0" cy="0"/>
          </xdr:xfrm>
          <a:graphic>
            <a:graphicData uri="http://schemas.microsoft.com/office/drawing/2010/slicer">
              <sle:slicer xmlns:sle="http://schemas.microsoft.com/office/drawing/2010/slicer" name="Card Type 1"/>
            </a:graphicData>
          </a:graphic>
        </xdr:graphicFrame>
      </mc:Choice>
      <mc:Fallback>
        <xdr:sp macro="" textlink="">
          <xdr:nvSpPr>
            <xdr:cNvPr id="0" name=""/>
            <xdr:cNvSpPr>
              <a:spLocks noTextEdit="1"/>
            </xdr:cNvSpPr>
          </xdr:nvSpPr>
          <xdr:spPr>
            <a:xfrm>
              <a:off x="11372850" y="464820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714375</xdr:colOff>
      <xdr:row>1</xdr:row>
      <xdr:rowOff>38100</xdr:rowOff>
    </xdr:from>
    <xdr:to>
      <xdr:col>19</xdr:col>
      <xdr:colOff>114301</xdr:colOff>
      <xdr:row>14</xdr:row>
      <xdr:rowOff>4761</xdr:rowOff>
    </xdr:to>
    <xdr:graphicFrame macro="">
      <xdr:nvGraphicFramePr>
        <xdr:cNvPr id="8" name="Chart 7">
          <a:extLst>
            <a:ext uri="{FF2B5EF4-FFF2-40B4-BE49-F238E27FC236}">
              <a16:creationId xmlns:a16="http://schemas.microsoft.com/office/drawing/2014/main" id="{2CDF6728-6A03-8851-CC0B-6F1A29C6D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571500</xdr:colOff>
      <xdr:row>6</xdr:row>
      <xdr:rowOff>180976</xdr:rowOff>
    </xdr:from>
    <xdr:to>
      <xdr:col>14</xdr:col>
      <xdr:colOff>47625</xdr:colOff>
      <xdr:row>14</xdr:row>
      <xdr:rowOff>9526</xdr:rowOff>
    </xdr:to>
    <mc:AlternateContent xmlns:mc="http://schemas.openxmlformats.org/markup-compatibility/2006">
      <mc:Choice xmlns:a14="http://schemas.microsoft.com/office/drawing/2010/main" Requires="a14">
        <xdr:graphicFrame macro="">
          <xdr:nvGraphicFramePr>
            <xdr:cNvPr id="9" name="Geography">
              <a:extLst>
                <a:ext uri="{FF2B5EF4-FFF2-40B4-BE49-F238E27FC236}">
                  <a16:creationId xmlns:a16="http://schemas.microsoft.com/office/drawing/2014/main" id="{A5F3DB45-D324-DB80-4FDA-E0079FAC5C67}"/>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1734800" y="1323976"/>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1066800</xdr:colOff>
      <xdr:row>9</xdr:row>
      <xdr:rowOff>171450</xdr:rowOff>
    </xdr:from>
    <xdr:to>
      <xdr:col>5</xdr:col>
      <xdr:colOff>95250</xdr:colOff>
      <xdr:row>17</xdr:row>
      <xdr:rowOff>28575</xdr:rowOff>
    </xdr:to>
    <mc:AlternateContent xmlns:mc="http://schemas.openxmlformats.org/markup-compatibility/2006">
      <mc:Choice xmlns:a14="http://schemas.microsoft.com/office/drawing/2010/main" Requires="a14">
        <xdr:graphicFrame macro="">
          <xdr:nvGraphicFramePr>
            <xdr:cNvPr id="10" name="Geography 1">
              <a:extLst>
                <a:ext uri="{FF2B5EF4-FFF2-40B4-BE49-F238E27FC236}">
                  <a16:creationId xmlns:a16="http://schemas.microsoft.com/office/drawing/2014/main" id="{52DA14E7-B961-71D7-DAA6-24F51661A742}"/>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3648075" y="1885950"/>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11156018516" createdVersion="8" refreshedVersion="8" minRefreshableVersion="3" recordCount="29" xr:uid="{F7DDD79F-C794-42AF-9704-20884F6236A3}">
  <cacheSource type="worksheet">
    <worksheetSource ref="A1:S30" sheet="Sheet1"/>
  </cacheSource>
  <cacheFields count="19">
    <cacheField name="RowNumber" numFmtId="0">
      <sharedItems containsSemiMixedTypes="0" containsString="0" containsNumber="1" containsInteger="1" minValue="1" maxValue="29"/>
    </cacheField>
    <cacheField name="CustomerId" numFmtId="0">
      <sharedItems containsSemiMixedTypes="0" containsString="0" containsNumber="1" containsInteger="1" minValue="15568982" maxValue="15792365"/>
    </cacheField>
    <cacheField name="Surname" numFmtId="0">
      <sharedItems/>
    </cacheField>
    <cacheField name="CreditScore" numFmtId="0">
      <sharedItems containsSemiMixedTypes="0" containsString="0" containsNumber="1" containsInteger="1" minValue="376"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24" maxValue="58"/>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2" maxValue="5"/>
    </cacheField>
    <cacheField name="Card Type" numFmtId="0">
      <sharedItems/>
    </cacheField>
    <cacheField name="Point Earned" numFmtId="0">
      <sharedItems containsSemiMixedTypes="0" containsString="0" containsNumber="1" containsInteger="1" minValue="119" maxValue="887"/>
    </cacheField>
    <cacheField name="Age Bins" numFmtId="0">
      <sharedItems count="3">
        <s v="41+"/>
        <s v="31-40"/>
        <s v="21-30"/>
      </sharedItems>
    </cacheField>
  </cacheFields>
  <extLst>
    <ext xmlns:x14="http://schemas.microsoft.com/office/spreadsheetml/2009/9/main" uri="{725AE2AE-9491-48be-B2B4-4EB974FC3084}">
      <x14:pivotCacheDefinition pivotCacheId="8331474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11967824072" createdVersion="8" refreshedVersion="8" minRefreshableVersion="3" recordCount="29" xr:uid="{B919D3C5-9A14-4FF5-80DC-CB43A66AD339}">
  <cacheSource type="worksheet">
    <worksheetSource ref="A1:S30" sheet="Sheet1"/>
  </cacheSource>
  <cacheFields count="19">
    <cacheField name="RowNumber" numFmtId="0">
      <sharedItems containsSemiMixedTypes="0" containsString="0" containsNumber="1" containsInteger="1" minValue="1" maxValue="29"/>
    </cacheField>
    <cacheField name="CustomerId" numFmtId="0">
      <sharedItems containsSemiMixedTypes="0" containsString="0" containsNumber="1" containsInteger="1" minValue="15568982" maxValue="15792365"/>
    </cacheField>
    <cacheField name="Surname" numFmtId="0">
      <sharedItems/>
    </cacheField>
    <cacheField name="CreditScore" numFmtId="0">
      <sharedItems containsSemiMixedTypes="0" containsString="0" containsNumber="1" containsInteger="1" minValue="376" maxValue="850"/>
    </cacheField>
    <cacheField name="Geography" numFmtId="0">
      <sharedItems count="3">
        <s v="France"/>
        <s v="Spain"/>
        <s v="Germany"/>
      </sharedItems>
    </cacheField>
    <cacheField name="Gender" numFmtId="0">
      <sharedItems/>
    </cacheField>
    <cacheField name="Age" numFmtId="0">
      <sharedItems containsSemiMixedTypes="0" containsString="0" containsNumber="1" containsInteger="1" minValue="24" maxValue="58"/>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2" maxValue="5"/>
    </cacheField>
    <cacheField name="Card Type" numFmtId="0">
      <sharedItems/>
    </cacheField>
    <cacheField name="Point Earned" numFmtId="0">
      <sharedItems containsSemiMixedTypes="0" containsString="0" containsNumber="1" containsInteger="1" minValue="119" maxValue="887"/>
    </cacheField>
    <cacheField name="Age Bins" numFmtId="0">
      <sharedItems/>
    </cacheField>
  </cacheFields>
  <extLst>
    <ext xmlns:x14="http://schemas.microsoft.com/office/spreadsheetml/2009/9/main" uri="{725AE2AE-9491-48be-B2B4-4EB974FC3084}">
      <x14:pivotCacheDefinition pivotCacheId="18740377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13834374999" createdVersion="8" refreshedVersion="8" minRefreshableVersion="3" recordCount="29" xr:uid="{AC086F32-F2D1-4535-9CC9-732AE7C891D3}">
  <cacheSource type="worksheet">
    <worksheetSource ref="A1:S30" sheet="Sheet1"/>
  </cacheSource>
  <cacheFields count="19">
    <cacheField name="RowNumber" numFmtId="0">
      <sharedItems containsSemiMixedTypes="0" containsString="0" containsNumber="1" containsInteger="1" minValue="1" maxValue="29"/>
    </cacheField>
    <cacheField name="CustomerId" numFmtId="0">
      <sharedItems containsSemiMixedTypes="0" containsString="0" containsNumber="1" containsInteger="1" minValue="15568982" maxValue="15792365"/>
    </cacheField>
    <cacheField name="Surname" numFmtId="0">
      <sharedItems/>
    </cacheField>
    <cacheField name="CreditScore" numFmtId="0">
      <sharedItems containsSemiMixedTypes="0" containsString="0" containsNumber="1" containsInteger="1" minValue="376" maxValue="850"/>
    </cacheField>
    <cacheField name="Geography" numFmtId="0">
      <sharedItems/>
    </cacheField>
    <cacheField name="Gender" numFmtId="0">
      <sharedItems/>
    </cacheField>
    <cacheField name="Age" numFmtId="0">
      <sharedItems containsSemiMixedTypes="0" containsString="0" containsNumber="1" containsInteger="1" minValue="24" maxValue="58"/>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2" maxValue="5"/>
    </cacheField>
    <cacheField name="Card Type" numFmtId="0">
      <sharedItems count="4">
        <s v="DIAMOND"/>
        <s v="GOLD"/>
        <s v="SILVER"/>
        <s v="PLATINUM"/>
      </sharedItems>
    </cacheField>
    <cacheField name="Point Earned" numFmtId="0">
      <sharedItems containsSemiMixedTypes="0" containsString="0" containsNumber="1" containsInteger="1" minValue="119" maxValue="887"/>
    </cacheField>
    <cacheField name="Age Bins" numFmtId="0">
      <sharedItems/>
    </cacheField>
  </cacheFields>
  <extLst>
    <ext xmlns:x14="http://schemas.microsoft.com/office/spreadsheetml/2009/9/main" uri="{725AE2AE-9491-48be-B2B4-4EB974FC3084}">
      <x14:pivotCacheDefinition pivotCacheId="211884402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27452199071" backgroundQuery="1" createdVersion="8" refreshedVersion="8" minRefreshableVersion="3" recordCount="0" supportSubquery="1" supportAdvancedDrill="1" xr:uid="{DC3A41B4-426A-42E3-9A01-F14704F39A04}">
  <cacheSource type="external" connectionId="1"/>
  <cacheFields count="2">
    <cacheField name="[Range 1].[Age Bins].[Age Bins]" caption="Age Bins" numFmtId="0" hierarchy="18" level="1">
      <sharedItems containsBlank="1" count="4">
        <m/>
        <s v="21-30"/>
        <s v="31-40"/>
        <s v="41+"/>
      </sharedItems>
    </cacheField>
    <cacheField name="[Measures].[Max of Age]" caption="Max of Age" numFmtId="0" hierarchy="26" level="32767"/>
  </cacheFields>
  <cacheHierarchies count="27">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2"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Satisfaction Score]" caption="Satisfaction Score" attribute="1" defaultMemberUniqueName="[Range].[Satisfaction Score].[All]" allUniqueName="[Range].[Satisfaction Score].[All]" dimensionUniqueName="[Range]" displayFolder="" count="0" memberValueDatatype="20" unbalanced="0"/>
    <cacheHierarchy uniqueName="[Range].[Card Type]" caption="Card Type" attribute="1" defaultMemberUniqueName="[Range].[Card Type].[All]" allUniqueName="[Range].[Card Type].[All]" dimensionUniqueName="[Range]" displayFolder="" count="0" memberValueDatatype="130" unbalanced="0"/>
    <cacheHierarchy uniqueName="[Range].[Point Earned]" caption="Point Earned" attribute="1" defaultMemberUniqueName="[Range].[Point Earned].[All]" allUniqueName="[Range].[Point Earned].[All]" dimensionUniqueName="[Range]" displayFolder="" count="0" memberValueDatatype="20" unbalanced="0"/>
    <cacheHierarchy uniqueName="[Range 1].[Age Bins]" caption="Age Bins" attribute="1" defaultMemberUniqueName="[Range 1].[Age Bins].[All]" allUniqueName="[Range 1].[Age Bins].[All]" dimensionUniqueName="[Range 1]" displayFolder="" count="2" memberValueDatatype="130" unbalanced="0">
      <fieldsUsage count="2">
        <fieldUsage x="-1"/>
        <fieldUsage x="0"/>
      </fieldsUsage>
    </cacheHierarchy>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2"/>
        </ext>
      </extLst>
    </cacheHierarchy>
    <cacheHierarchy uniqueName="[Measures].[Sum of Satisfaction Score]" caption="Sum of Satisfaction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6"/>
        </ext>
      </extLst>
    </cacheHierarchy>
    <cacheHierarchy uniqueName="[Measures].[Max of Age]" caption="Max of Ag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08039467596" backgroundQuery="1" createdVersion="3" refreshedVersion="8" minRefreshableVersion="3" recordCount="0" supportSubquery="1" supportAdvancedDrill="1" xr:uid="{EF78D323-A484-42E9-8ED7-0EA670467A2A}">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omplain]" caption="Complain" attribute="1" defaultMemberUniqueName="[Range].[Complain].[All]" allUniqueName="[Range].[Complain].[All]" dimensionUniqueName="[Range]" displayFolder="" count="0" memberValueDatatype="20" unbalanced="0"/>
    <cacheHierarchy uniqueName="[Range].[Satisfaction Score]" caption="Satisfaction Score" attribute="1" defaultMemberUniqueName="[Range].[Satisfaction Score].[All]" allUniqueName="[Range].[Satisfaction Score].[All]" dimensionUniqueName="[Range]" displayFolder="" count="0" memberValueDatatype="20" unbalanced="0"/>
    <cacheHierarchy uniqueName="[Range].[Card Type]" caption="Card Type" attribute="1" defaultMemberUniqueName="[Range].[Card Type].[All]" allUniqueName="[Range].[Card Type].[All]" dimensionUniqueName="[Range]" displayFolder="" count="0" memberValueDatatype="130" unbalanced="0"/>
    <cacheHierarchy uniqueName="[Range].[Point Earned]" caption="Point Earned" attribute="1" defaultMemberUniqueName="[Range].[Point Earned].[All]" allUniqueName="[Range].[Point Earned].[All]" dimensionUniqueName="[Range]" displayFolder="" count="0" memberValueDatatype="20" unbalanced="0"/>
    <cacheHierarchy uniqueName="[Range 1].[Age Bins]" caption="Age Bins" attribute="1" defaultMemberUniqueName="[Range 1].[Age Bins].[All]" allUniqueName="[Range 1].[Age Bins].[All]" dimensionUniqueName="[Range 1]" displayFolder="" count="2" memberValueDatatype="130" unbalanced="0"/>
    <cacheHierarchy uniqueName="[Measures].[__XL_Count Range 1]" caption="__XL_Count Range 1" measure="1" displayFolder="" measureGroup="Range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Average of EstimatedSalary]" caption="Average of EstimatedSalary" measure="1" displayFolder="" measureGroup="Range" count="0" hidden="1">
      <extLst>
        <ext xmlns:x15="http://schemas.microsoft.com/office/spreadsheetml/2010/11/main" uri="{B97F6D7D-B522-45F9-BDA1-12C45D357490}">
          <x15:cacheHierarchy aggregatedColumn="12"/>
        </ext>
      </extLst>
    </cacheHierarchy>
    <cacheHierarchy uniqueName="[Measures].[Sum of Satisfaction Score]" caption="Sum of Satisfaction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68241903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n v="15634602"/>
    <s v="Hargrave"/>
    <n v="619"/>
    <x v="0"/>
    <x v="0"/>
    <n v="42"/>
    <n v="2"/>
    <n v="0"/>
    <n v="1"/>
    <x v="0"/>
    <n v="1"/>
    <n v="101348.88"/>
    <n v="1"/>
    <n v="1"/>
    <n v="2"/>
    <s v="DIAMOND"/>
    <n v="464"/>
    <x v="0"/>
  </r>
  <r>
    <n v="2"/>
    <n v="15647311"/>
    <s v="Hill"/>
    <n v="608"/>
    <x v="1"/>
    <x v="0"/>
    <n v="41"/>
    <n v="1"/>
    <n v="83807.86"/>
    <n v="1"/>
    <x v="1"/>
    <n v="1"/>
    <n v="112542.58"/>
    <n v="0"/>
    <n v="1"/>
    <n v="3"/>
    <s v="DIAMOND"/>
    <n v="456"/>
    <x v="0"/>
  </r>
  <r>
    <n v="3"/>
    <n v="15619304"/>
    <s v="Onio"/>
    <n v="502"/>
    <x v="0"/>
    <x v="0"/>
    <n v="42"/>
    <n v="8"/>
    <n v="159660.79999999999"/>
    <n v="3"/>
    <x v="0"/>
    <n v="0"/>
    <n v="113931.57"/>
    <n v="1"/>
    <n v="1"/>
    <n v="3"/>
    <s v="DIAMOND"/>
    <n v="377"/>
    <x v="0"/>
  </r>
  <r>
    <n v="4"/>
    <n v="15701354"/>
    <s v="Boni"/>
    <n v="699"/>
    <x v="0"/>
    <x v="0"/>
    <n v="39"/>
    <n v="1"/>
    <n v="0"/>
    <n v="2"/>
    <x v="1"/>
    <n v="0"/>
    <n v="93826.63"/>
    <n v="0"/>
    <n v="0"/>
    <n v="5"/>
    <s v="GOLD"/>
    <n v="350"/>
    <x v="1"/>
  </r>
  <r>
    <n v="5"/>
    <n v="15737888"/>
    <s v="Mitchell"/>
    <n v="850"/>
    <x v="1"/>
    <x v="0"/>
    <n v="43"/>
    <n v="2"/>
    <n v="125510.82"/>
    <n v="1"/>
    <x v="0"/>
    <n v="1"/>
    <n v="79084.100000000006"/>
    <n v="0"/>
    <n v="0"/>
    <n v="5"/>
    <s v="GOLD"/>
    <n v="425"/>
    <x v="0"/>
  </r>
  <r>
    <n v="6"/>
    <n v="15574012"/>
    <s v="Chu"/>
    <n v="645"/>
    <x v="1"/>
    <x v="1"/>
    <n v="44"/>
    <n v="8"/>
    <n v="113755.78"/>
    <n v="2"/>
    <x v="0"/>
    <n v="0"/>
    <n v="149756.71"/>
    <n v="1"/>
    <n v="1"/>
    <n v="5"/>
    <s v="DIAMOND"/>
    <n v="484"/>
    <x v="0"/>
  </r>
  <r>
    <n v="7"/>
    <n v="15592531"/>
    <s v="Bartlett"/>
    <n v="822"/>
    <x v="0"/>
    <x v="1"/>
    <n v="50"/>
    <n v="7"/>
    <n v="0"/>
    <n v="2"/>
    <x v="0"/>
    <n v="1"/>
    <n v="10062.799999999999"/>
    <n v="0"/>
    <n v="0"/>
    <n v="2"/>
    <s v="SILVER"/>
    <n v="206"/>
    <x v="0"/>
  </r>
  <r>
    <n v="8"/>
    <n v="15656148"/>
    <s v="Obinna"/>
    <n v="376"/>
    <x v="2"/>
    <x v="0"/>
    <n v="29"/>
    <n v="4"/>
    <n v="115046.74"/>
    <n v="4"/>
    <x v="0"/>
    <n v="0"/>
    <n v="119346.88"/>
    <n v="1"/>
    <n v="1"/>
    <n v="2"/>
    <s v="DIAMOND"/>
    <n v="282"/>
    <x v="2"/>
  </r>
  <r>
    <n v="9"/>
    <n v="15792365"/>
    <s v="He"/>
    <n v="501"/>
    <x v="0"/>
    <x v="1"/>
    <n v="44"/>
    <n v="4"/>
    <n v="142051.07"/>
    <n v="2"/>
    <x v="1"/>
    <n v="1"/>
    <n v="74940.5"/>
    <n v="0"/>
    <n v="0"/>
    <n v="3"/>
    <s v="GOLD"/>
    <n v="251"/>
    <x v="0"/>
  </r>
  <r>
    <n v="10"/>
    <n v="15592389"/>
    <s v="H?"/>
    <n v="684"/>
    <x v="0"/>
    <x v="1"/>
    <n v="27"/>
    <n v="2"/>
    <n v="134603.88"/>
    <n v="1"/>
    <x v="0"/>
    <n v="1"/>
    <n v="71725.73"/>
    <n v="0"/>
    <n v="0"/>
    <n v="3"/>
    <s v="GOLD"/>
    <n v="342"/>
    <x v="2"/>
  </r>
  <r>
    <n v="11"/>
    <n v="15767821"/>
    <s v="Bearce"/>
    <n v="528"/>
    <x v="0"/>
    <x v="1"/>
    <n v="31"/>
    <n v="6"/>
    <n v="102016.72"/>
    <n v="2"/>
    <x v="1"/>
    <n v="0"/>
    <n v="80181.119999999995"/>
    <n v="0"/>
    <n v="0"/>
    <n v="3"/>
    <s v="GOLD"/>
    <n v="264"/>
    <x v="1"/>
  </r>
  <r>
    <n v="12"/>
    <n v="15737173"/>
    <s v="Andrews"/>
    <n v="497"/>
    <x v="1"/>
    <x v="1"/>
    <n v="24"/>
    <n v="3"/>
    <n v="0"/>
    <n v="2"/>
    <x v="0"/>
    <n v="0"/>
    <n v="76390.009999999995"/>
    <n v="0"/>
    <n v="0"/>
    <n v="3"/>
    <s v="GOLD"/>
    <n v="249"/>
    <x v="2"/>
  </r>
  <r>
    <n v="13"/>
    <n v="15632264"/>
    <s v="Kay"/>
    <n v="476"/>
    <x v="0"/>
    <x v="0"/>
    <n v="34"/>
    <n v="10"/>
    <n v="0"/>
    <n v="2"/>
    <x v="0"/>
    <n v="0"/>
    <n v="26260.98"/>
    <n v="0"/>
    <n v="0"/>
    <n v="3"/>
    <s v="SILVER"/>
    <n v="119"/>
    <x v="1"/>
  </r>
  <r>
    <n v="14"/>
    <n v="15691483"/>
    <s v="Chin"/>
    <n v="549"/>
    <x v="0"/>
    <x v="0"/>
    <n v="25"/>
    <n v="5"/>
    <n v="0"/>
    <n v="2"/>
    <x v="1"/>
    <n v="0"/>
    <n v="190857.79"/>
    <n v="0"/>
    <n v="0"/>
    <n v="3"/>
    <s v="PLATINUM"/>
    <n v="549"/>
    <x v="2"/>
  </r>
  <r>
    <n v="15"/>
    <n v="15600882"/>
    <s v="Scott"/>
    <n v="635"/>
    <x v="1"/>
    <x v="0"/>
    <n v="35"/>
    <n v="7"/>
    <n v="0"/>
    <n v="2"/>
    <x v="0"/>
    <n v="1"/>
    <n v="65951.649999999994"/>
    <n v="0"/>
    <n v="0"/>
    <n v="2"/>
    <s v="GOLD"/>
    <n v="318"/>
    <x v="1"/>
  </r>
  <r>
    <n v="16"/>
    <n v="15643966"/>
    <s v="Goforth"/>
    <n v="616"/>
    <x v="2"/>
    <x v="1"/>
    <n v="45"/>
    <n v="3"/>
    <n v="143129.41"/>
    <n v="2"/>
    <x v="1"/>
    <n v="1"/>
    <n v="64327.26"/>
    <n v="0"/>
    <n v="0"/>
    <n v="5"/>
    <s v="GOLD"/>
    <n v="308"/>
    <x v="0"/>
  </r>
  <r>
    <n v="17"/>
    <n v="15737452"/>
    <s v="Romeo"/>
    <n v="653"/>
    <x v="2"/>
    <x v="1"/>
    <n v="58"/>
    <n v="1"/>
    <n v="132602.88"/>
    <n v="1"/>
    <x v="0"/>
    <n v="0"/>
    <n v="5097.67"/>
    <n v="1"/>
    <n v="0"/>
    <n v="2"/>
    <s v="SILVER"/>
    <n v="163"/>
    <x v="0"/>
  </r>
  <r>
    <n v="18"/>
    <n v="15788218"/>
    <s v="Henderson"/>
    <n v="549"/>
    <x v="1"/>
    <x v="0"/>
    <n v="24"/>
    <n v="9"/>
    <n v="0"/>
    <n v="2"/>
    <x v="0"/>
    <n v="1"/>
    <n v="14406.41"/>
    <n v="0"/>
    <n v="0"/>
    <n v="3"/>
    <s v="SILVER"/>
    <n v="544"/>
    <x v="2"/>
  </r>
  <r>
    <n v="19"/>
    <n v="15661507"/>
    <s v="Muldrow"/>
    <n v="587"/>
    <x v="1"/>
    <x v="1"/>
    <n v="45"/>
    <n v="6"/>
    <n v="0"/>
    <n v="1"/>
    <x v="1"/>
    <n v="0"/>
    <n v="158684.81"/>
    <n v="0"/>
    <n v="0"/>
    <n v="3"/>
    <s v="PLATINUM"/>
    <n v="732"/>
    <x v="0"/>
  </r>
  <r>
    <n v="20"/>
    <n v="15568982"/>
    <s v="Hao"/>
    <n v="726"/>
    <x v="0"/>
    <x v="0"/>
    <n v="24"/>
    <n v="6"/>
    <n v="0"/>
    <n v="2"/>
    <x v="0"/>
    <n v="1"/>
    <n v="54724.03"/>
    <n v="0"/>
    <n v="0"/>
    <n v="4"/>
    <s v="GOLD"/>
    <n v="477"/>
    <x v="2"/>
  </r>
  <r>
    <n v="21"/>
    <n v="15577657"/>
    <s v="McDonald"/>
    <n v="732"/>
    <x v="0"/>
    <x v="1"/>
    <n v="41"/>
    <n v="8"/>
    <n v="0"/>
    <n v="2"/>
    <x v="0"/>
    <n v="1"/>
    <n v="170886.17"/>
    <n v="0"/>
    <n v="0"/>
    <n v="3"/>
    <s v="PLATINUM"/>
    <n v="568"/>
    <x v="0"/>
  </r>
  <r>
    <n v="22"/>
    <n v="15597945"/>
    <s v="Dellucci"/>
    <n v="636"/>
    <x v="1"/>
    <x v="0"/>
    <n v="32"/>
    <n v="8"/>
    <n v="0"/>
    <n v="2"/>
    <x v="0"/>
    <n v="0"/>
    <n v="138555.46"/>
    <n v="0"/>
    <n v="0"/>
    <n v="2"/>
    <s v="DIAMOND"/>
    <n v="336"/>
    <x v="1"/>
  </r>
  <r>
    <n v="23"/>
    <n v="15699309"/>
    <s v="Gerasimov"/>
    <n v="510"/>
    <x v="1"/>
    <x v="0"/>
    <n v="38"/>
    <n v="4"/>
    <n v="0"/>
    <n v="1"/>
    <x v="0"/>
    <n v="0"/>
    <n v="118913.53"/>
    <n v="1"/>
    <n v="1"/>
    <n v="2"/>
    <s v="DIAMOND"/>
    <n v="887"/>
    <x v="1"/>
  </r>
  <r>
    <n v="24"/>
    <n v="15725737"/>
    <s v="Mosman"/>
    <n v="669"/>
    <x v="0"/>
    <x v="1"/>
    <n v="46"/>
    <n v="3"/>
    <n v="0"/>
    <n v="2"/>
    <x v="1"/>
    <n v="1"/>
    <n v="8487.75"/>
    <n v="0"/>
    <n v="0"/>
    <n v="2"/>
    <s v="SILVER"/>
    <n v="665"/>
    <x v="0"/>
  </r>
  <r>
    <n v="25"/>
    <n v="15625047"/>
    <s v="Yen"/>
    <n v="846"/>
    <x v="0"/>
    <x v="0"/>
    <n v="38"/>
    <n v="5"/>
    <n v="0"/>
    <n v="1"/>
    <x v="0"/>
    <n v="1"/>
    <n v="187616.16"/>
    <n v="0"/>
    <n v="0"/>
    <n v="3"/>
    <s v="PLATINUM"/>
    <n v="225"/>
    <x v="1"/>
  </r>
  <r>
    <n v="26"/>
    <n v="15738191"/>
    <s v="Maclean"/>
    <n v="577"/>
    <x v="0"/>
    <x v="1"/>
    <n v="25"/>
    <n v="3"/>
    <n v="0"/>
    <n v="2"/>
    <x v="1"/>
    <n v="1"/>
    <n v="124508.29"/>
    <n v="0"/>
    <n v="0"/>
    <n v="3"/>
    <s v="PLATINUM"/>
    <n v="659"/>
    <x v="2"/>
  </r>
  <r>
    <n v="27"/>
    <n v="15736816"/>
    <s v="Young"/>
    <n v="756"/>
    <x v="2"/>
    <x v="1"/>
    <n v="36"/>
    <n v="2"/>
    <n v="136815.64000000001"/>
    <n v="1"/>
    <x v="0"/>
    <n v="1"/>
    <n v="170041.95"/>
    <n v="0"/>
    <n v="0"/>
    <n v="5"/>
    <s v="DIAMOND"/>
    <n v="236"/>
    <x v="1"/>
  </r>
  <r>
    <n v="28"/>
    <n v="15700772"/>
    <s v="Nebechi"/>
    <n v="571"/>
    <x v="0"/>
    <x v="1"/>
    <n v="44"/>
    <n v="9"/>
    <n v="0"/>
    <n v="2"/>
    <x v="1"/>
    <n v="0"/>
    <n v="38433.35"/>
    <n v="0"/>
    <n v="0"/>
    <n v="4"/>
    <s v="PLATINUM"/>
    <n v="448"/>
    <x v="0"/>
  </r>
  <r>
    <n v="29"/>
    <n v="15728693"/>
    <s v="McWilliams"/>
    <n v="574"/>
    <x v="2"/>
    <x v="0"/>
    <n v="43"/>
    <n v="3"/>
    <n v="141349.43"/>
    <n v="1"/>
    <x v="0"/>
    <n v="1"/>
    <n v="100187.43"/>
    <n v="0"/>
    <n v="0"/>
    <n v="5"/>
    <s v="DIAMOND"/>
    <n v="49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n v="15634602"/>
    <s v="Hargrave"/>
    <n v="619"/>
    <x v="0"/>
    <s v="Female"/>
    <n v="42"/>
    <n v="2"/>
    <n v="0"/>
    <n v="1"/>
    <n v="1"/>
    <n v="1"/>
    <n v="101348.88"/>
    <n v="1"/>
    <n v="1"/>
    <n v="2"/>
    <s v="DIAMOND"/>
    <n v="464"/>
    <s v="41+"/>
  </r>
  <r>
    <n v="2"/>
    <n v="15647311"/>
    <s v="Hill"/>
    <n v="608"/>
    <x v="1"/>
    <s v="Female"/>
    <n v="41"/>
    <n v="1"/>
    <n v="83807.86"/>
    <n v="1"/>
    <n v="0"/>
    <n v="1"/>
    <n v="112542.58"/>
    <n v="0"/>
    <n v="1"/>
    <n v="3"/>
    <s v="DIAMOND"/>
    <n v="456"/>
    <s v="41+"/>
  </r>
  <r>
    <n v="3"/>
    <n v="15619304"/>
    <s v="Onio"/>
    <n v="502"/>
    <x v="0"/>
    <s v="Female"/>
    <n v="42"/>
    <n v="8"/>
    <n v="159660.79999999999"/>
    <n v="3"/>
    <n v="1"/>
    <n v="0"/>
    <n v="113931.57"/>
    <n v="1"/>
    <n v="1"/>
    <n v="3"/>
    <s v="DIAMOND"/>
    <n v="377"/>
    <s v="41+"/>
  </r>
  <r>
    <n v="4"/>
    <n v="15701354"/>
    <s v="Boni"/>
    <n v="699"/>
    <x v="0"/>
    <s v="Female"/>
    <n v="39"/>
    <n v="1"/>
    <n v="0"/>
    <n v="2"/>
    <n v="0"/>
    <n v="0"/>
    <n v="93826.63"/>
    <n v="0"/>
    <n v="0"/>
    <n v="5"/>
    <s v="GOLD"/>
    <n v="350"/>
    <s v="31-40"/>
  </r>
  <r>
    <n v="5"/>
    <n v="15737888"/>
    <s v="Mitchell"/>
    <n v="850"/>
    <x v="1"/>
    <s v="Female"/>
    <n v="43"/>
    <n v="2"/>
    <n v="125510.82"/>
    <n v="1"/>
    <n v="1"/>
    <n v="1"/>
    <n v="79084.100000000006"/>
    <n v="0"/>
    <n v="0"/>
    <n v="5"/>
    <s v="GOLD"/>
    <n v="425"/>
    <s v="41+"/>
  </r>
  <r>
    <n v="6"/>
    <n v="15574012"/>
    <s v="Chu"/>
    <n v="645"/>
    <x v="1"/>
    <s v="Male"/>
    <n v="44"/>
    <n v="8"/>
    <n v="113755.78"/>
    <n v="2"/>
    <n v="1"/>
    <n v="0"/>
    <n v="149756.71"/>
    <n v="1"/>
    <n v="1"/>
    <n v="5"/>
    <s v="DIAMOND"/>
    <n v="484"/>
    <s v="41+"/>
  </r>
  <r>
    <n v="7"/>
    <n v="15592531"/>
    <s v="Bartlett"/>
    <n v="822"/>
    <x v="0"/>
    <s v="Male"/>
    <n v="50"/>
    <n v="7"/>
    <n v="0"/>
    <n v="2"/>
    <n v="1"/>
    <n v="1"/>
    <n v="10062.799999999999"/>
    <n v="0"/>
    <n v="0"/>
    <n v="2"/>
    <s v="SILVER"/>
    <n v="206"/>
    <s v="41+"/>
  </r>
  <r>
    <n v="8"/>
    <n v="15656148"/>
    <s v="Obinna"/>
    <n v="376"/>
    <x v="2"/>
    <s v="Female"/>
    <n v="29"/>
    <n v="4"/>
    <n v="115046.74"/>
    <n v="4"/>
    <n v="1"/>
    <n v="0"/>
    <n v="119346.88"/>
    <n v="1"/>
    <n v="1"/>
    <n v="2"/>
    <s v="DIAMOND"/>
    <n v="282"/>
    <s v="21-30"/>
  </r>
  <r>
    <n v="9"/>
    <n v="15792365"/>
    <s v="He"/>
    <n v="501"/>
    <x v="0"/>
    <s v="Male"/>
    <n v="44"/>
    <n v="4"/>
    <n v="142051.07"/>
    <n v="2"/>
    <n v="0"/>
    <n v="1"/>
    <n v="74940.5"/>
    <n v="0"/>
    <n v="0"/>
    <n v="3"/>
    <s v="GOLD"/>
    <n v="251"/>
    <s v="41+"/>
  </r>
  <r>
    <n v="10"/>
    <n v="15592389"/>
    <s v="H?"/>
    <n v="684"/>
    <x v="0"/>
    <s v="Male"/>
    <n v="27"/>
    <n v="2"/>
    <n v="134603.88"/>
    <n v="1"/>
    <n v="1"/>
    <n v="1"/>
    <n v="71725.73"/>
    <n v="0"/>
    <n v="0"/>
    <n v="3"/>
    <s v="GOLD"/>
    <n v="342"/>
    <s v="21-30"/>
  </r>
  <r>
    <n v="11"/>
    <n v="15767821"/>
    <s v="Bearce"/>
    <n v="528"/>
    <x v="0"/>
    <s v="Male"/>
    <n v="31"/>
    <n v="6"/>
    <n v="102016.72"/>
    <n v="2"/>
    <n v="0"/>
    <n v="0"/>
    <n v="80181.119999999995"/>
    <n v="0"/>
    <n v="0"/>
    <n v="3"/>
    <s v="GOLD"/>
    <n v="264"/>
    <s v="31-40"/>
  </r>
  <r>
    <n v="12"/>
    <n v="15737173"/>
    <s v="Andrews"/>
    <n v="497"/>
    <x v="1"/>
    <s v="Male"/>
    <n v="24"/>
    <n v="3"/>
    <n v="0"/>
    <n v="2"/>
    <n v="1"/>
    <n v="0"/>
    <n v="76390.009999999995"/>
    <n v="0"/>
    <n v="0"/>
    <n v="3"/>
    <s v="GOLD"/>
    <n v="249"/>
    <s v="21-30"/>
  </r>
  <r>
    <n v="13"/>
    <n v="15632264"/>
    <s v="Kay"/>
    <n v="476"/>
    <x v="0"/>
    <s v="Female"/>
    <n v="34"/>
    <n v="10"/>
    <n v="0"/>
    <n v="2"/>
    <n v="1"/>
    <n v="0"/>
    <n v="26260.98"/>
    <n v="0"/>
    <n v="0"/>
    <n v="3"/>
    <s v="SILVER"/>
    <n v="119"/>
    <s v="31-40"/>
  </r>
  <r>
    <n v="14"/>
    <n v="15691483"/>
    <s v="Chin"/>
    <n v="549"/>
    <x v="0"/>
    <s v="Female"/>
    <n v="25"/>
    <n v="5"/>
    <n v="0"/>
    <n v="2"/>
    <n v="0"/>
    <n v="0"/>
    <n v="190857.79"/>
    <n v="0"/>
    <n v="0"/>
    <n v="3"/>
    <s v="PLATINUM"/>
    <n v="549"/>
    <s v="21-30"/>
  </r>
  <r>
    <n v="15"/>
    <n v="15600882"/>
    <s v="Scott"/>
    <n v="635"/>
    <x v="1"/>
    <s v="Female"/>
    <n v="35"/>
    <n v="7"/>
    <n v="0"/>
    <n v="2"/>
    <n v="1"/>
    <n v="1"/>
    <n v="65951.649999999994"/>
    <n v="0"/>
    <n v="0"/>
    <n v="2"/>
    <s v="GOLD"/>
    <n v="318"/>
    <s v="31-40"/>
  </r>
  <r>
    <n v="16"/>
    <n v="15643966"/>
    <s v="Goforth"/>
    <n v="616"/>
    <x v="2"/>
    <s v="Male"/>
    <n v="45"/>
    <n v="3"/>
    <n v="143129.41"/>
    <n v="2"/>
    <n v="0"/>
    <n v="1"/>
    <n v="64327.26"/>
    <n v="0"/>
    <n v="0"/>
    <n v="5"/>
    <s v="GOLD"/>
    <n v="308"/>
    <s v="41+"/>
  </r>
  <r>
    <n v="17"/>
    <n v="15737452"/>
    <s v="Romeo"/>
    <n v="653"/>
    <x v="2"/>
    <s v="Male"/>
    <n v="58"/>
    <n v="1"/>
    <n v="132602.88"/>
    <n v="1"/>
    <n v="1"/>
    <n v="0"/>
    <n v="5097.67"/>
    <n v="1"/>
    <n v="0"/>
    <n v="2"/>
    <s v="SILVER"/>
    <n v="163"/>
    <s v="41+"/>
  </r>
  <r>
    <n v="18"/>
    <n v="15788218"/>
    <s v="Henderson"/>
    <n v="549"/>
    <x v="1"/>
    <s v="Female"/>
    <n v="24"/>
    <n v="9"/>
    <n v="0"/>
    <n v="2"/>
    <n v="1"/>
    <n v="1"/>
    <n v="14406.41"/>
    <n v="0"/>
    <n v="0"/>
    <n v="3"/>
    <s v="SILVER"/>
    <n v="544"/>
    <s v="21-30"/>
  </r>
  <r>
    <n v="19"/>
    <n v="15661507"/>
    <s v="Muldrow"/>
    <n v="587"/>
    <x v="1"/>
    <s v="Male"/>
    <n v="45"/>
    <n v="6"/>
    <n v="0"/>
    <n v="1"/>
    <n v="0"/>
    <n v="0"/>
    <n v="158684.81"/>
    <n v="0"/>
    <n v="0"/>
    <n v="3"/>
    <s v="PLATINUM"/>
    <n v="732"/>
    <s v="41+"/>
  </r>
  <r>
    <n v="20"/>
    <n v="15568982"/>
    <s v="Hao"/>
    <n v="726"/>
    <x v="0"/>
    <s v="Female"/>
    <n v="24"/>
    <n v="6"/>
    <n v="0"/>
    <n v="2"/>
    <n v="1"/>
    <n v="1"/>
    <n v="54724.03"/>
    <n v="0"/>
    <n v="0"/>
    <n v="4"/>
    <s v="GOLD"/>
    <n v="477"/>
    <s v="21-30"/>
  </r>
  <r>
    <n v="21"/>
    <n v="15577657"/>
    <s v="McDonald"/>
    <n v="732"/>
    <x v="0"/>
    <s v="Male"/>
    <n v="41"/>
    <n v="8"/>
    <n v="0"/>
    <n v="2"/>
    <n v="1"/>
    <n v="1"/>
    <n v="170886.17"/>
    <n v="0"/>
    <n v="0"/>
    <n v="3"/>
    <s v="PLATINUM"/>
    <n v="568"/>
    <s v="41+"/>
  </r>
  <r>
    <n v="22"/>
    <n v="15597945"/>
    <s v="Dellucci"/>
    <n v="636"/>
    <x v="1"/>
    <s v="Female"/>
    <n v="32"/>
    <n v="8"/>
    <n v="0"/>
    <n v="2"/>
    <n v="1"/>
    <n v="0"/>
    <n v="138555.46"/>
    <n v="0"/>
    <n v="0"/>
    <n v="2"/>
    <s v="DIAMOND"/>
    <n v="336"/>
    <s v="31-40"/>
  </r>
  <r>
    <n v="23"/>
    <n v="15699309"/>
    <s v="Gerasimov"/>
    <n v="510"/>
    <x v="1"/>
    <s v="Female"/>
    <n v="38"/>
    <n v="4"/>
    <n v="0"/>
    <n v="1"/>
    <n v="1"/>
    <n v="0"/>
    <n v="118913.53"/>
    <n v="1"/>
    <n v="1"/>
    <n v="2"/>
    <s v="DIAMOND"/>
    <n v="887"/>
    <s v="31-40"/>
  </r>
  <r>
    <n v="24"/>
    <n v="15725737"/>
    <s v="Mosman"/>
    <n v="669"/>
    <x v="0"/>
    <s v="Male"/>
    <n v="46"/>
    <n v="3"/>
    <n v="0"/>
    <n v="2"/>
    <n v="0"/>
    <n v="1"/>
    <n v="8487.75"/>
    <n v="0"/>
    <n v="0"/>
    <n v="2"/>
    <s v="SILVER"/>
    <n v="665"/>
    <s v="41+"/>
  </r>
  <r>
    <n v="25"/>
    <n v="15625047"/>
    <s v="Yen"/>
    <n v="846"/>
    <x v="0"/>
    <s v="Female"/>
    <n v="38"/>
    <n v="5"/>
    <n v="0"/>
    <n v="1"/>
    <n v="1"/>
    <n v="1"/>
    <n v="187616.16"/>
    <n v="0"/>
    <n v="0"/>
    <n v="3"/>
    <s v="PLATINUM"/>
    <n v="225"/>
    <s v="31-40"/>
  </r>
  <r>
    <n v="26"/>
    <n v="15738191"/>
    <s v="Maclean"/>
    <n v="577"/>
    <x v="0"/>
    <s v="Male"/>
    <n v="25"/>
    <n v="3"/>
    <n v="0"/>
    <n v="2"/>
    <n v="0"/>
    <n v="1"/>
    <n v="124508.29"/>
    <n v="0"/>
    <n v="0"/>
    <n v="3"/>
    <s v="PLATINUM"/>
    <n v="659"/>
    <s v="21-30"/>
  </r>
  <r>
    <n v="27"/>
    <n v="15736816"/>
    <s v="Young"/>
    <n v="756"/>
    <x v="2"/>
    <s v="Male"/>
    <n v="36"/>
    <n v="2"/>
    <n v="136815.64000000001"/>
    <n v="1"/>
    <n v="1"/>
    <n v="1"/>
    <n v="170041.95"/>
    <n v="0"/>
    <n v="0"/>
    <n v="5"/>
    <s v="DIAMOND"/>
    <n v="236"/>
    <s v="31-40"/>
  </r>
  <r>
    <n v="28"/>
    <n v="15700772"/>
    <s v="Nebechi"/>
    <n v="571"/>
    <x v="0"/>
    <s v="Male"/>
    <n v="44"/>
    <n v="9"/>
    <n v="0"/>
    <n v="2"/>
    <n v="0"/>
    <n v="0"/>
    <n v="38433.35"/>
    <n v="0"/>
    <n v="0"/>
    <n v="4"/>
    <s v="PLATINUM"/>
    <n v="448"/>
    <s v="41+"/>
  </r>
  <r>
    <n v="29"/>
    <n v="15728693"/>
    <s v="McWilliams"/>
    <n v="574"/>
    <x v="2"/>
    <s v="Female"/>
    <n v="43"/>
    <n v="3"/>
    <n v="141349.43"/>
    <n v="1"/>
    <n v="1"/>
    <n v="1"/>
    <n v="100187.43"/>
    <n v="0"/>
    <n v="0"/>
    <n v="5"/>
    <s v="DIAMOND"/>
    <n v="499"/>
    <s v="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n v="15634602"/>
    <s v="Hargrave"/>
    <n v="619"/>
    <s v="France"/>
    <s v="Female"/>
    <n v="42"/>
    <n v="2"/>
    <n v="0"/>
    <n v="1"/>
    <n v="1"/>
    <n v="1"/>
    <n v="101348.88"/>
    <n v="1"/>
    <n v="1"/>
    <n v="2"/>
    <x v="0"/>
    <n v="464"/>
    <s v="41+"/>
  </r>
  <r>
    <n v="2"/>
    <n v="15647311"/>
    <s v="Hill"/>
    <n v="608"/>
    <s v="Spain"/>
    <s v="Female"/>
    <n v="41"/>
    <n v="1"/>
    <n v="83807.86"/>
    <n v="1"/>
    <n v="0"/>
    <n v="1"/>
    <n v="112542.58"/>
    <n v="0"/>
    <n v="1"/>
    <n v="3"/>
    <x v="0"/>
    <n v="456"/>
    <s v="41+"/>
  </r>
  <r>
    <n v="3"/>
    <n v="15619304"/>
    <s v="Onio"/>
    <n v="502"/>
    <s v="France"/>
    <s v="Female"/>
    <n v="42"/>
    <n v="8"/>
    <n v="159660.79999999999"/>
    <n v="3"/>
    <n v="1"/>
    <n v="0"/>
    <n v="113931.57"/>
    <n v="1"/>
    <n v="1"/>
    <n v="3"/>
    <x v="0"/>
    <n v="377"/>
    <s v="41+"/>
  </r>
  <r>
    <n v="4"/>
    <n v="15701354"/>
    <s v="Boni"/>
    <n v="699"/>
    <s v="France"/>
    <s v="Female"/>
    <n v="39"/>
    <n v="1"/>
    <n v="0"/>
    <n v="2"/>
    <n v="0"/>
    <n v="0"/>
    <n v="93826.63"/>
    <n v="0"/>
    <n v="0"/>
    <n v="5"/>
    <x v="1"/>
    <n v="350"/>
    <s v="31-40"/>
  </r>
  <r>
    <n v="5"/>
    <n v="15737888"/>
    <s v="Mitchell"/>
    <n v="850"/>
    <s v="Spain"/>
    <s v="Female"/>
    <n v="43"/>
    <n v="2"/>
    <n v="125510.82"/>
    <n v="1"/>
    <n v="1"/>
    <n v="1"/>
    <n v="79084.100000000006"/>
    <n v="0"/>
    <n v="0"/>
    <n v="5"/>
    <x v="1"/>
    <n v="425"/>
    <s v="41+"/>
  </r>
  <r>
    <n v="6"/>
    <n v="15574012"/>
    <s v="Chu"/>
    <n v="645"/>
    <s v="Spain"/>
    <s v="Male"/>
    <n v="44"/>
    <n v="8"/>
    <n v="113755.78"/>
    <n v="2"/>
    <n v="1"/>
    <n v="0"/>
    <n v="149756.71"/>
    <n v="1"/>
    <n v="1"/>
    <n v="5"/>
    <x v="0"/>
    <n v="484"/>
    <s v="41+"/>
  </r>
  <r>
    <n v="7"/>
    <n v="15592531"/>
    <s v="Bartlett"/>
    <n v="822"/>
    <s v="France"/>
    <s v="Male"/>
    <n v="50"/>
    <n v="7"/>
    <n v="0"/>
    <n v="2"/>
    <n v="1"/>
    <n v="1"/>
    <n v="10062.799999999999"/>
    <n v="0"/>
    <n v="0"/>
    <n v="2"/>
    <x v="2"/>
    <n v="206"/>
    <s v="41+"/>
  </r>
  <r>
    <n v="8"/>
    <n v="15656148"/>
    <s v="Obinna"/>
    <n v="376"/>
    <s v="Germany"/>
    <s v="Female"/>
    <n v="29"/>
    <n v="4"/>
    <n v="115046.74"/>
    <n v="4"/>
    <n v="1"/>
    <n v="0"/>
    <n v="119346.88"/>
    <n v="1"/>
    <n v="1"/>
    <n v="2"/>
    <x v="0"/>
    <n v="282"/>
    <s v="21-30"/>
  </r>
  <r>
    <n v="9"/>
    <n v="15792365"/>
    <s v="He"/>
    <n v="501"/>
    <s v="France"/>
    <s v="Male"/>
    <n v="44"/>
    <n v="4"/>
    <n v="142051.07"/>
    <n v="2"/>
    <n v="0"/>
    <n v="1"/>
    <n v="74940.5"/>
    <n v="0"/>
    <n v="0"/>
    <n v="3"/>
    <x v="1"/>
    <n v="251"/>
    <s v="41+"/>
  </r>
  <r>
    <n v="10"/>
    <n v="15592389"/>
    <s v="H?"/>
    <n v="684"/>
    <s v="France"/>
    <s v="Male"/>
    <n v="27"/>
    <n v="2"/>
    <n v="134603.88"/>
    <n v="1"/>
    <n v="1"/>
    <n v="1"/>
    <n v="71725.73"/>
    <n v="0"/>
    <n v="0"/>
    <n v="3"/>
    <x v="1"/>
    <n v="342"/>
    <s v="21-30"/>
  </r>
  <r>
    <n v="11"/>
    <n v="15767821"/>
    <s v="Bearce"/>
    <n v="528"/>
    <s v="France"/>
    <s v="Male"/>
    <n v="31"/>
    <n v="6"/>
    <n v="102016.72"/>
    <n v="2"/>
    <n v="0"/>
    <n v="0"/>
    <n v="80181.119999999995"/>
    <n v="0"/>
    <n v="0"/>
    <n v="3"/>
    <x v="1"/>
    <n v="264"/>
    <s v="31-40"/>
  </r>
  <r>
    <n v="12"/>
    <n v="15737173"/>
    <s v="Andrews"/>
    <n v="497"/>
    <s v="Spain"/>
    <s v="Male"/>
    <n v="24"/>
    <n v="3"/>
    <n v="0"/>
    <n v="2"/>
    <n v="1"/>
    <n v="0"/>
    <n v="76390.009999999995"/>
    <n v="0"/>
    <n v="0"/>
    <n v="3"/>
    <x v="1"/>
    <n v="249"/>
    <s v="21-30"/>
  </r>
  <r>
    <n v="13"/>
    <n v="15632264"/>
    <s v="Kay"/>
    <n v="476"/>
    <s v="France"/>
    <s v="Female"/>
    <n v="34"/>
    <n v="10"/>
    <n v="0"/>
    <n v="2"/>
    <n v="1"/>
    <n v="0"/>
    <n v="26260.98"/>
    <n v="0"/>
    <n v="0"/>
    <n v="3"/>
    <x v="2"/>
    <n v="119"/>
    <s v="31-40"/>
  </r>
  <r>
    <n v="14"/>
    <n v="15691483"/>
    <s v="Chin"/>
    <n v="549"/>
    <s v="France"/>
    <s v="Female"/>
    <n v="25"/>
    <n v="5"/>
    <n v="0"/>
    <n v="2"/>
    <n v="0"/>
    <n v="0"/>
    <n v="190857.79"/>
    <n v="0"/>
    <n v="0"/>
    <n v="3"/>
    <x v="3"/>
    <n v="549"/>
    <s v="21-30"/>
  </r>
  <r>
    <n v="15"/>
    <n v="15600882"/>
    <s v="Scott"/>
    <n v="635"/>
    <s v="Spain"/>
    <s v="Female"/>
    <n v="35"/>
    <n v="7"/>
    <n v="0"/>
    <n v="2"/>
    <n v="1"/>
    <n v="1"/>
    <n v="65951.649999999994"/>
    <n v="0"/>
    <n v="0"/>
    <n v="2"/>
    <x v="1"/>
    <n v="318"/>
    <s v="31-40"/>
  </r>
  <r>
    <n v="16"/>
    <n v="15643966"/>
    <s v="Goforth"/>
    <n v="616"/>
    <s v="Germany"/>
    <s v="Male"/>
    <n v="45"/>
    <n v="3"/>
    <n v="143129.41"/>
    <n v="2"/>
    <n v="0"/>
    <n v="1"/>
    <n v="64327.26"/>
    <n v="0"/>
    <n v="0"/>
    <n v="5"/>
    <x v="1"/>
    <n v="308"/>
    <s v="41+"/>
  </r>
  <r>
    <n v="17"/>
    <n v="15737452"/>
    <s v="Romeo"/>
    <n v="653"/>
    <s v="Germany"/>
    <s v="Male"/>
    <n v="58"/>
    <n v="1"/>
    <n v="132602.88"/>
    <n v="1"/>
    <n v="1"/>
    <n v="0"/>
    <n v="5097.67"/>
    <n v="1"/>
    <n v="0"/>
    <n v="2"/>
    <x v="2"/>
    <n v="163"/>
    <s v="41+"/>
  </r>
  <r>
    <n v="18"/>
    <n v="15788218"/>
    <s v="Henderson"/>
    <n v="549"/>
    <s v="Spain"/>
    <s v="Female"/>
    <n v="24"/>
    <n v="9"/>
    <n v="0"/>
    <n v="2"/>
    <n v="1"/>
    <n v="1"/>
    <n v="14406.41"/>
    <n v="0"/>
    <n v="0"/>
    <n v="3"/>
    <x v="2"/>
    <n v="544"/>
    <s v="21-30"/>
  </r>
  <r>
    <n v="19"/>
    <n v="15661507"/>
    <s v="Muldrow"/>
    <n v="587"/>
    <s v="Spain"/>
    <s v="Male"/>
    <n v="45"/>
    <n v="6"/>
    <n v="0"/>
    <n v="1"/>
    <n v="0"/>
    <n v="0"/>
    <n v="158684.81"/>
    <n v="0"/>
    <n v="0"/>
    <n v="3"/>
    <x v="3"/>
    <n v="732"/>
    <s v="41+"/>
  </r>
  <r>
    <n v="20"/>
    <n v="15568982"/>
    <s v="Hao"/>
    <n v="726"/>
    <s v="France"/>
    <s v="Female"/>
    <n v="24"/>
    <n v="6"/>
    <n v="0"/>
    <n v="2"/>
    <n v="1"/>
    <n v="1"/>
    <n v="54724.03"/>
    <n v="0"/>
    <n v="0"/>
    <n v="4"/>
    <x v="1"/>
    <n v="477"/>
    <s v="21-30"/>
  </r>
  <r>
    <n v="21"/>
    <n v="15577657"/>
    <s v="McDonald"/>
    <n v="732"/>
    <s v="France"/>
    <s v="Male"/>
    <n v="41"/>
    <n v="8"/>
    <n v="0"/>
    <n v="2"/>
    <n v="1"/>
    <n v="1"/>
    <n v="170886.17"/>
    <n v="0"/>
    <n v="0"/>
    <n v="3"/>
    <x v="3"/>
    <n v="568"/>
    <s v="41+"/>
  </r>
  <r>
    <n v="22"/>
    <n v="15597945"/>
    <s v="Dellucci"/>
    <n v="636"/>
    <s v="Spain"/>
    <s v="Female"/>
    <n v="32"/>
    <n v="8"/>
    <n v="0"/>
    <n v="2"/>
    <n v="1"/>
    <n v="0"/>
    <n v="138555.46"/>
    <n v="0"/>
    <n v="0"/>
    <n v="2"/>
    <x v="0"/>
    <n v="336"/>
    <s v="31-40"/>
  </r>
  <r>
    <n v="23"/>
    <n v="15699309"/>
    <s v="Gerasimov"/>
    <n v="510"/>
    <s v="Spain"/>
    <s v="Female"/>
    <n v="38"/>
    <n v="4"/>
    <n v="0"/>
    <n v="1"/>
    <n v="1"/>
    <n v="0"/>
    <n v="118913.53"/>
    <n v="1"/>
    <n v="1"/>
    <n v="2"/>
    <x v="0"/>
    <n v="887"/>
    <s v="31-40"/>
  </r>
  <r>
    <n v="24"/>
    <n v="15725737"/>
    <s v="Mosman"/>
    <n v="669"/>
    <s v="France"/>
    <s v="Male"/>
    <n v="46"/>
    <n v="3"/>
    <n v="0"/>
    <n v="2"/>
    <n v="0"/>
    <n v="1"/>
    <n v="8487.75"/>
    <n v="0"/>
    <n v="0"/>
    <n v="2"/>
    <x v="2"/>
    <n v="665"/>
    <s v="41+"/>
  </r>
  <r>
    <n v="25"/>
    <n v="15625047"/>
    <s v="Yen"/>
    <n v="846"/>
    <s v="France"/>
    <s v="Female"/>
    <n v="38"/>
    <n v="5"/>
    <n v="0"/>
    <n v="1"/>
    <n v="1"/>
    <n v="1"/>
    <n v="187616.16"/>
    <n v="0"/>
    <n v="0"/>
    <n v="3"/>
    <x v="3"/>
    <n v="225"/>
    <s v="31-40"/>
  </r>
  <r>
    <n v="26"/>
    <n v="15738191"/>
    <s v="Maclean"/>
    <n v="577"/>
    <s v="France"/>
    <s v="Male"/>
    <n v="25"/>
    <n v="3"/>
    <n v="0"/>
    <n v="2"/>
    <n v="0"/>
    <n v="1"/>
    <n v="124508.29"/>
    <n v="0"/>
    <n v="0"/>
    <n v="3"/>
    <x v="3"/>
    <n v="659"/>
    <s v="21-30"/>
  </r>
  <r>
    <n v="27"/>
    <n v="15736816"/>
    <s v="Young"/>
    <n v="756"/>
    <s v="Germany"/>
    <s v="Male"/>
    <n v="36"/>
    <n v="2"/>
    <n v="136815.64000000001"/>
    <n v="1"/>
    <n v="1"/>
    <n v="1"/>
    <n v="170041.95"/>
    <n v="0"/>
    <n v="0"/>
    <n v="5"/>
    <x v="0"/>
    <n v="236"/>
    <s v="31-40"/>
  </r>
  <r>
    <n v="28"/>
    <n v="15700772"/>
    <s v="Nebechi"/>
    <n v="571"/>
    <s v="France"/>
    <s v="Male"/>
    <n v="44"/>
    <n v="9"/>
    <n v="0"/>
    <n v="2"/>
    <n v="0"/>
    <n v="0"/>
    <n v="38433.35"/>
    <n v="0"/>
    <n v="0"/>
    <n v="4"/>
    <x v="3"/>
    <n v="448"/>
    <s v="41+"/>
  </r>
  <r>
    <n v="29"/>
    <n v="15728693"/>
    <s v="McWilliams"/>
    <n v="574"/>
    <s v="Germany"/>
    <s v="Female"/>
    <n v="43"/>
    <n v="3"/>
    <n v="141349.43"/>
    <n v="1"/>
    <n v="1"/>
    <n v="1"/>
    <n v="100187.43"/>
    <n v="0"/>
    <n v="0"/>
    <n v="5"/>
    <x v="0"/>
    <n v="499"/>
    <s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11E19-BED5-4701-9470-62934ED17D8B}" name="PivotTable25" cacheId="2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8:O23" firstHeaderRow="1" firstDataRow="1" firstDataCol="1"/>
  <pivotFields count="19">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s>
  <rowFields count="1">
    <field x="16"/>
  </rowFields>
  <rowItems count="5">
    <i>
      <x/>
    </i>
    <i>
      <x v="1"/>
    </i>
    <i>
      <x v="2"/>
    </i>
    <i>
      <x v="3"/>
    </i>
    <i t="grand">
      <x/>
    </i>
  </rowItems>
  <colItems count="1">
    <i/>
  </colItems>
  <dataFields count="1">
    <dataField name="Sum of Balan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32A7C-5F5B-4634-8054-FEE9416AE1E9}" name="PivotTable20"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M5" firstHeaderRow="1" firstDataRow="1" firstDataCol="1"/>
  <pivotFields count="19">
    <pivotField showAll="0"/>
    <pivotField showAll="0"/>
    <pivotField showAll="0"/>
    <pivotField showAll="0"/>
    <pivotField axis="axisRow" showAll="0">
      <items count="4">
        <item h="1" x="0"/>
        <item h="1"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NumOfProduct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8E15A-4CB2-4B3A-83F6-BDBC861C4060}" name="PivotTable17" cacheId="3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G8" firstHeaderRow="1" firstDataRow="2" firstDataCol="1"/>
  <pivotFields count="19">
    <pivotField showAll="0"/>
    <pivotField showAll="0"/>
    <pivotField showAll="0"/>
    <pivotField showAll="0"/>
    <pivotField axis="axisRow" showAll="0">
      <items count="4">
        <item x="0"/>
        <item x="2"/>
        <item x="1"/>
        <item t="default"/>
      </items>
    </pivotField>
    <pivotField axis="axisCol" showAll="0">
      <items count="3">
        <item x="0"/>
        <item x="1"/>
        <item t="default"/>
      </items>
    </pivotField>
    <pivotField showAll="0"/>
    <pivotField showAll="0"/>
    <pivotField showAll="0"/>
    <pivotField showAll="0"/>
    <pivotField showAll="0">
      <items count="3">
        <item h="1" x="1"/>
        <item x="0"/>
        <item t="default"/>
      </items>
    </pivotField>
    <pivotField showAll="0"/>
    <pivotField dataField="1" showAll="0"/>
    <pivotField showAll="0"/>
    <pivotField showAll="0"/>
    <pivotField showAll="0"/>
    <pivotField showAll="0"/>
    <pivotField showAll="0"/>
    <pivotField showAll="0">
      <items count="4">
        <item x="2"/>
        <item x="1"/>
        <item x="0"/>
        <item t="default"/>
      </items>
    </pivotField>
  </pivotFields>
  <rowFields count="1">
    <field x="4"/>
  </rowFields>
  <rowItems count="4">
    <i>
      <x/>
    </i>
    <i>
      <x v="1"/>
    </i>
    <i>
      <x v="2"/>
    </i>
    <i t="grand">
      <x/>
    </i>
  </rowItems>
  <colFields count="1">
    <field x="5"/>
  </colFields>
  <colItems count="3">
    <i>
      <x/>
    </i>
    <i>
      <x v="1"/>
    </i>
    <i t="grand">
      <x/>
    </i>
  </colItems>
  <dataFields count="1">
    <dataField name="Average of EstimatedSalary" fld="12" subtotal="average" baseField="4" baseItem="0"/>
  </dataField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FAA4C-7346-4B0B-9EE9-8E86D98B1F60}" name="PivotTable14" cacheId="4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Max of Age" fld="1" subtotal="max" baseField="0" baseItem="1"/>
  </dataFields>
  <chartFormats count="1">
    <chartFormat chart="0" format="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caption="Max of Age"/>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0716DF-9F0B-4BF1-90D6-65EF50DB0D0D}" name="PivotTable19" cacheId="2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9">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NumOfProduct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8E2884-00C1-4554-B183-160C5D3C0C50}" name="PivotTable24" cacheId="2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9">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s>
  <rowFields count="1">
    <field x="16"/>
  </rowFields>
  <rowItems count="5">
    <i>
      <x/>
    </i>
    <i>
      <x v="1"/>
    </i>
    <i>
      <x v="2"/>
    </i>
    <i>
      <x v="3"/>
    </i>
    <i t="grand">
      <x/>
    </i>
  </rowItems>
  <colItems count="1">
    <i/>
  </colItems>
  <dataFields count="1">
    <dataField name="Sum of Balan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s" xr10:uid="{3ED978B7-97E2-4C1E-910C-E747633C7497}" sourceName="[Range 1].[Age Bins]">
  <pivotTables>
    <pivotTable tabId="12" name="PivotTable14"/>
  </pivotTables>
  <data>
    <olap pivotCacheId="1682419036">
      <levels count="2">
        <level uniqueName="[Range 1].[Age Bins].[(All)]" sourceCaption="(All)" count="0"/>
        <level uniqueName="[Range 1].[Age Bins].[Age Bins]" sourceCaption="Age Bins" count="4">
          <ranges>
            <range startItem="0">
              <i n="[Range 1].[Age Bins].&amp;" c="(blank)"/>
              <i n="[Range 1].[Age Bins].&amp;[21-30]" c="21-30"/>
              <i n="[Range 1].[Age Bins].&amp;[31-40]" c="31-40"/>
              <i n="[Range 1].[Age Bins].&amp;[41+]" c="41+"/>
            </range>
          </ranges>
        </level>
      </levels>
      <selections count="1">
        <selection n="[Range 1].[Age Bin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Card" xr10:uid="{306B735A-0939-4F23-A828-2973743D05CB}" sourceName="HasCrCard">
  <pivotTables>
    <pivotTable tabId="12" name="PivotTable17"/>
  </pivotTables>
  <data>
    <tabular pivotCacheId="833147427">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1" xr10:uid="{F85F1474-8738-45DB-AC8E-7A0D30348F19}" sourceName="Card Type">
  <pivotTables>
    <pivotTable tabId="12" name="PivotTable25"/>
  </pivotTables>
  <data>
    <tabular pivotCacheId="2118844020">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F42F4AF-EE48-41F7-9C87-3E6ACD7341DC}" sourceName="Geography">
  <pivotTables>
    <pivotTable tabId="12" name="PivotTable20"/>
  </pivotTables>
  <data>
    <tabular pivotCacheId="1874037770">
      <items count="3">
        <i x="0"/>
        <i x="2"/>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AA00DCE2-5CBE-4472-BDB6-06E820A2C798}" sourceName="Geography">
  <pivotTables>
    <pivotTable tabId="12" name="PivotTable17"/>
  </pivotTables>
  <data>
    <tabular pivotCacheId="8331474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ins" xr10:uid="{AE09FD46-8A98-4F9B-84BE-CEF70BF167C4}" cache="Slicer_Age_Bins" caption="Age Bins" level="1" rowHeight="241300"/>
  <slicer name="HasCrCard" xr10:uid="{F0BFD3A7-06F2-4CBB-9054-511283F2EB9E}" cache="Slicer_HasCrCard" caption="HasCrCard" rowHeight="241300"/>
  <slicer name="Card Type 1" xr10:uid="{A0206995-4CC5-48E2-90BE-7311A78554A4}" cache="Slicer_Card_Type1" caption="Card Type" rowHeight="241300"/>
  <slicer name="Geography" xr10:uid="{BE82B66E-72AF-4400-A994-A44F68A4681F}" cache="Slicer_Geography" caption="Geography" rowHeight="241300"/>
  <slicer name="Geography 1" xr10:uid="{41ADEBF8-950C-41F3-9409-D1E72F9DD055}" cache="Slicer_Geography1" caption="Geograph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C1DD-7656-4E69-8547-F6B7F7C2126F}">
  <dimension ref="A3:O23"/>
  <sheetViews>
    <sheetView tabSelected="1" workbookViewId="0">
      <selection activeCell="C6" sqref="C6"/>
    </sheetView>
  </sheetViews>
  <sheetFormatPr defaultRowHeight="15" x14ac:dyDescent="0.25"/>
  <cols>
    <col min="1" max="1" width="13.140625" bestFit="1" customWidth="1"/>
    <col min="2" max="2" width="11" bestFit="1" customWidth="1"/>
    <col min="3" max="3" width="14.5703125" bestFit="1" customWidth="1"/>
    <col min="4" max="4" width="25.7109375" bestFit="1" customWidth="1"/>
    <col min="5" max="5" width="16.28515625" bestFit="1" customWidth="1"/>
    <col min="6" max="7" width="12" bestFit="1" customWidth="1"/>
    <col min="8" max="8" width="16.28515625" bestFit="1" customWidth="1"/>
    <col min="9" max="9" width="10" bestFit="1" customWidth="1"/>
    <col min="10" max="10" width="11.28515625" bestFit="1" customWidth="1"/>
    <col min="11" max="11" width="12" bestFit="1" customWidth="1"/>
    <col min="12" max="12" width="13.140625" bestFit="1" customWidth="1"/>
    <col min="13" max="13" width="22.140625" bestFit="1" customWidth="1"/>
    <col min="14" max="14" width="13.140625" bestFit="1" customWidth="1"/>
    <col min="15" max="16" width="14.5703125" bestFit="1" customWidth="1"/>
  </cols>
  <sheetData>
    <row r="3" spans="1:13" x14ac:dyDescent="0.25">
      <c r="A3" s="1" t="s">
        <v>56</v>
      </c>
      <c r="B3" t="s">
        <v>66</v>
      </c>
      <c r="D3" s="1" t="s">
        <v>60</v>
      </c>
      <c r="E3" s="1" t="s">
        <v>59</v>
      </c>
      <c r="L3" s="1" t="s">
        <v>56</v>
      </c>
      <c r="M3" t="s">
        <v>67</v>
      </c>
    </row>
    <row r="4" spans="1:13" x14ac:dyDescent="0.25">
      <c r="A4" s="2" t="s">
        <v>61</v>
      </c>
      <c r="B4" s="3">
        <v>58</v>
      </c>
      <c r="D4" s="1" t="s">
        <v>56</v>
      </c>
      <c r="E4" t="s">
        <v>3</v>
      </c>
      <c r="F4" t="s">
        <v>4</v>
      </c>
      <c r="G4" t="s">
        <v>57</v>
      </c>
      <c r="L4" s="2" t="s">
        <v>8</v>
      </c>
      <c r="M4" s="3">
        <v>14</v>
      </c>
    </row>
    <row r="5" spans="1:13" x14ac:dyDescent="0.25">
      <c r="A5" s="2" t="s">
        <v>63</v>
      </c>
      <c r="B5" s="3">
        <v>58</v>
      </c>
      <c r="D5" s="2" t="s">
        <v>7</v>
      </c>
      <c r="E5" s="3">
        <v>96776.323999999993</v>
      </c>
      <c r="F5" s="3">
        <v>84224.900000000009</v>
      </c>
      <c r="G5" s="3">
        <v>92069.540000000008</v>
      </c>
      <c r="L5" s="2" t="s">
        <v>57</v>
      </c>
      <c r="M5" s="3">
        <v>14</v>
      </c>
    </row>
    <row r="6" spans="1:13" x14ac:dyDescent="0.25">
      <c r="A6" s="2" t="s">
        <v>64</v>
      </c>
      <c r="B6" s="3">
        <v>58</v>
      </c>
      <c r="D6" s="2" t="s">
        <v>9</v>
      </c>
      <c r="E6" s="3">
        <v>109767.155</v>
      </c>
      <c r="F6" s="3">
        <v>87569.810000000012</v>
      </c>
      <c r="G6" s="3">
        <v>98668.482499999998</v>
      </c>
    </row>
    <row r="7" spans="1:13" x14ac:dyDescent="0.25">
      <c r="A7" s="2" t="s">
        <v>65</v>
      </c>
      <c r="B7" s="3">
        <v>58</v>
      </c>
      <c r="D7" s="2" t="s">
        <v>8</v>
      </c>
      <c r="E7" s="3">
        <v>83382.23</v>
      </c>
      <c r="F7" s="3">
        <v>113073.35999999999</v>
      </c>
      <c r="G7" s="3">
        <v>91865.41</v>
      </c>
    </row>
    <row r="8" spans="1:13" x14ac:dyDescent="0.25">
      <c r="A8" s="2" t="s">
        <v>57</v>
      </c>
      <c r="B8" s="3">
        <v>58</v>
      </c>
      <c r="D8" s="2" t="s">
        <v>57</v>
      </c>
      <c r="E8" s="3">
        <v>93360.589999999982</v>
      </c>
      <c r="F8" s="3">
        <v>93423.005714285726</v>
      </c>
      <c r="G8" s="3">
        <v>93383.585263157904</v>
      </c>
    </row>
    <row r="18" spans="14:15" x14ac:dyDescent="0.25">
      <c r="N18" s="1" t="s">
        <v>56</v>
      </c>
      <c r="O18" t="s">
        <v>58</v>
      </c>
    </row>
    <row r="19" spans="14:15" x14ac:dyDescent="0.25">
      <c r="N19" s="2" t="s">
        <v>24</v>
      </c>
      <c r="O19" s="3">
        <v>750436.25</v>
      </c>
    </row>
    <row r="20" spans="14:15" x14ac:dyDescent="0.25">
      <c r="N20" s="2" t="s">
        <v>28</v>
      </c>
      <c r="O20" s="3">
        <v>647311.9</v>
      </c>
    </row>
    <row r="21" spans="14:15" x14ac:dyDescent="0.25">
      <c r="N21" s="2" t="s">
        <v>40</v>
      </c>
      <c r="O21" s="3">
        <v>0</v>
      </c>
    </row>
    <row r="22" spans="14:15" x14ac:dyDescent="0.25">
      <c r="N22" s="2" t="s">
        <v>32</v>
      </c>
      <c r="O22" s="3">
        <v>132602.88</v>
      </c>
    </row>
    <row r="23" spans="14:15" x14ac:dyDescent="0.25">
      <c r="N23" s="2" t="s">
        <v>57</v>
      </c>
      <c r="O23" s="3">
        <v>1530351.0299999998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273D-4642-4858-9101-7E76956F2BC2}">
  <dimension ref="A3:B7"/>
  <sheetViews>
    <sheetView workbookViewId="0">
      <selection activeCell="B6" sqref="B6"/>
    </sheetView>
  </sheetViews>
  <sheetFormatPr defaultRowHeight="15" x14ac:dyDescent="0.25"/>
  <cols>
    <col min="1" max="1" width="13.140625" bestFit="1" customWidth="1"/>
    <col min="2" max="2" width="22.140625" bestFit="1" customWidth="1"/>
  </cols>
  <sheetData>
    <row r="3" spans="1:2" x14ac:dyDescent="0.25">
      <c r="A3" s="1" t="s">
        <v>56</v>
      </c>
      <c r="B3" t="s">
        <v>67</v>
      </c>
    </row>
    <row r="4" spans="1:2" x14ac:dyDescent="0.25">
      <c r="A4" s="2" t="s">
        <v>7</v>
      </c>
      <c r="B4" s="3">
        <v>28</v>
      </c>
    </row>
    <row r="5" spans="1:2" x14ac:dyDescent="0.25">
      <c r="A5" s="2" t="s">
        <v>9</v>
      </c>
      <c r="B5" s="3">
        <v>9</v>
      </c>
    </row>
    <row r="6" spans="1:2" x14ac:dyDescent="0.25">
      <c r="A6" s="2" t="s">
        <v>8</v>
      </c>
      <c r="B6" s="3">
        <v>14</v>
      </c>
    </row>
    <row r="7" spans="1:2" x14ac:dyDescent="0.25">
      <c r="A7" s="2" t="s">
        <v>57</v>
      </c>
      <c r="B7" s="3">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271A-0FDA-49F5-B4B8-E0487B619B85}">
  <dimension ref="A1:S30"/>
  <sheetViews>
    <sheetView workbookViewId="0">
      <selection activeCell="L1" activeCellId="1" sqref="E1:E1048576 L1:L1048576"/>
    </sheetView>
  </sheetViews>
  <sheetFormatPr defaultRowHeight="15" x14ac:dyDescent="0.25"/>
  <cols>
    <col min="1" max="1" width="12.140625" bestFit="1" customWidth="1"/>
    <col min="2" max="2" width="11.28515625" bestFit="1" customWidth="1"/>
    <col min="4" max="4" width="11.28515625" bestFit="1" customWidth="1"/>
    <col min="5" max="5" width="10.5703125" bestFit="1" customWidth="1"/>
    <col min="10" max="10" width="15.28515625" bestFit="1" customWidth="1"/>
    <col min="11" max="11" width="10" bestFit="1" customWidth="1"/>
    <col min="12" max="12" width="15.7109375" bestFit="1" customWidth="1"/>
    <col min="13" max="13" width="15.28515625" bestFit="1" customWidth="1"/>
    <col min="16" max="16" width="16.7109375" bestFit="1" customWidth="1"/>
    <col min="17" max="17" width="10.28515625" bestFit="1" customWidth="1"/>
    <col min="18" max="18" width="12.28515625" bestFit="1" customWidth="1"/>
  </cols>
  <sheetData>
    <row r="1" spans="1:19" x14ac:dyDescent="0.25">
      <c r="A1" t="s">
        <v>11</v>
      </c>
      <c r="B1" t="s">
        <v>12</v>
      </c>
      <c r="C1" t="s">
        <v>13</v>
      </c>
      <c r="D1" t="s">
        <v>5</v>
      </c>
      <c r="E1" t="s">
        <v>6</v>
      </c>
      <c r="F1" t="s">
        <v>0</v>
      </c>
      <c r="G1" t="s">
        <v>1</v>
      </c>
      <c r="H1" t="s">
        <v>2</v>
      </c>
      <c r="I1" t="s">
        <v>14</v>
      </c>
      <c r="J1" t="s">
        <v>15</v>
      </c>
      <c r="K1" t="s">
        <v>16</v>
      </c>
      <c r="L1" t="s">
        <v>17</v>
      </c>
      <c r="M1" t="s">
        <v>10</v>
      </c>
      <c r="N1" t="s">
        <v>18</v>
      </c>
      <c r="O1" t="s">
        <v>19</v>
      </c>
      <c r="P1" t="s">
        <v>20</v>
      </c>
      <c r="Q1" t="s">
        <v>21</v>
      </c>
      <c r="R1" t="s">
        <v>22</v>
      </c>
      <c r="S1" t="s">
        <v>62</v>
      </c>
    </row>
    <row r="2" spans="1:19" x14ac:dyDescent="0.25">
      <c r="A2">
        <v>1</v>
      </c>
      <c r="B2">
        <v>15634602</v>
      </c>
      <c r="C2" t="s">
        <v>23</v>
      </c>
      <c r="D2">
        <v>619</v>
      </c>
      <c r="E2" t="s">
        <v>7</v>
      </c>
      <c r="F2" t="s">
        <v>3</v>
      </c>
      <c r="G2">
        <v>42</v>
      </c>
      <c r="H2">
        <v>2</v>
      </c>
      <c r="I2">
        <v>0</v>
      </c>
      <c r="J2">
        <v>1</v>
      </c>
      <c r="K2">
        <v>1</v>
      </c>
      <c r="L2">
        <v>1</v>
      </c>
      <c r="M2">
        <v>101348.88</v>
      </c>
      <c r="N2">
        <v>1</v>
      </c>
      <c r="O2">
        <v>1</v>
      </c>
      <c r="P2">
        <v>2</v>
      </c>
      <c r="Q2" t="s">
        <v>24</v>
      </c>
      <c r="R2">
        <v>464</v>
      </c>
      <c r="S2" t="str" cm="1">
        <f t="array" ref="S2">_xlfn.IFS(G2&lt;=10,"0-10",G2&lt;=20,"11-20",G2&lt;=30,"21-30",G2&lt;=40,"31-40",G2&gt;40,"41+")</f>
        <v>41+</v>
      </c>
    </row>
    <row r="3" spans="1:19" x14ac:dyDescent="0.25">
      <c r="A3">
        <v>2</v>
      </c>
      <c r="B3">
        <v>15647311</v>
      </c>
      <c r="C3" t="s">
        <v>25</v>
      </c>
      <c r="D3">
        <v>608</v>
      </c>
      <c r="E3" t="s">
        <v>8</v>
      </c>
      <c r="F3" t="s">
        <v>3</v>
      </c>
      <c r="G3">
        <v>41</v>
      </c>
      <c r="H3">
        <v>1</v>
      </c>
      <c r="I3">
        <v>83807.86</v>
      </c>
      <c r="J3">
        <v>1</v>
      </c>
      <c r="K3">
        <v>0</v>
      </c>
      <c r="L3">
        <v>1</v>
      </c>
      <c r="M3">
        <v>112542.58</v>
      </c>
      <c r="N3">
        <v>0</v>
      </c>
      <c r="O3">
        <v>1</v>
      </c>
      <c r="P3">
        <v>3</v>
      </c>
      <c r="Q3" t="s">
        <v>24</v>
      </c>
      <c r="R3">
        <v>456</v>
      </c>
      <c r="S3" t="str" cm="1">
        <f t="array" ref="S3">_xlfn.IFS(G3&lt;=10,"0-10",G3&lt;=20,"11-1920",G3&lt;=30,"21-30",G3&lt;=40,"31-40",G3&gt;40,"41+")</f>
        <v>41+</v>
      </c>
    </row>
    <row r="4" spans="1:19" x14ac:dyDescent="0.25">
      <c r="A4">
        <v>3</v>
      </c>
      <c r="B4">
        <v>15619304</v>
      </c>
      <c r="C4" t="s">
        <v>26</v>
      </c>
      <c r="D4">
        <v>502</v>
      </c>
      <c r="E4" t="s">
        <v>7</v>
      </c>
      <c r="F4" t="s">
        <v>3</v>
      </c>
      <c r="G4">
        <v>42</v>
      </c>
      <c r="H4">
        <v>8</v>
      </c>
      <c r="I4">
        <v>159660.79999999999</v>
      </c>
      <c r="J4">
        <v>3</v>
      </c>
      <c r="K4">
        <v>1</v>
      </c>
      <c r="L4">
        <v>0</v>
      </c>
      <c r="M4">
        <v>113931.57</v>
      </c>
      <c r="N4">
        <v>1</v>
      </c>
      <c r="O4">
        <v>1</v>
      </c>
      <c r="P4">
        <v>3</v>
      </c>
      <c r="Q4" t="s">
        <v>24</v>
      </c>
      <c r="R4">
        <v>377</v>
      </c>
      <c r="S4" t="str" cm="1">
        <f t="array" ref="S4">_xlfn.IFS(G4&lt;=10,"0-10",G4&lt;=20,"11-20",G4&lt;=30,"21-30",G4&lt;=40,"31-40",G4&gt;40,"41+")</f>
        <v>41+</v>
      </c>
    </row>
    <row r="5" spans="1:19" x14ac:dyDescent="0.25">
      <c r="A5">
        <v>4</v>
      </c>
      <c r="B5">
        <v>15701354</v>
      </c>
      <c r="C5" t="s">
        <v>27</v>
      </c>
      <c r="D5">
        <v>699</v>
      </c>
      <c r="E5" t="s">
        <v>7</v>
      </c>
      <c r="F5" t="s">
        <v>3</v>
      </c>
      <c r="G5">
        <v>39</v>
      </c>
      <c r="H5">
        <v>1</v>
      </c>
      <c r="I5">
        <v>0</v>
      </c>
      <c r="J5">
        <v>2</v>
      </c>
      <c r="K5">
        <v>0</v>
      </c>
      <c r="L5">
        <v>0</v>
      </c>
      <c r="M5">
        <v>93826.63</v>
      </c>
      <c r="N5">
        <v>0</v>
      </c>
      <c r="O5">
        <v>0</v>
      </c>
      <c r="P5">
        <v>5</v>
      </c>
      <c r="Q5" t="s">
        <v>28</v>
      </c>
      <c r="R5">
        <v>350</v>
      </c>
      <c r="S5" t="str" cm="1">
        <f t="array" ref="S5">_xlfn.IFS(G5&lt;=10,"0-10",G5&lt;=20,"11-20",G5&lt;=30,"21-30",G5&lt;=40,"31-40",G5&gt;40,"41+")</f>
        <v>31-40</v>
      </c>
    </row>
    <row r="6" spans="1:19" x14ac:dyDescent="0.25">
      <c r="A6">
        <v>5</v>
      </c>
      <c r="B6">
        <v>15737888</v>
      </c>
      <c r="C6" t="s">
        <v>29</v>
      </c>
      <c r="D6">
        <v>850</v>
      </c>
      <c r="E6" t="s">
        <v>8</v>
      </c>
      <c r="F6" t="s">
        <v>3</v>
      </c>
      <c r="G6">
        <v>43</v>
      </c>
      <c r="H6">
        <v>2</v>
      </c>
      <c r="I6">
        <v>125510.82</v>
      </c>
      <c r="J6">
        <v>1</v>
      </c>
      <c r="K6">
        <v>1</v>
      </c>
      <c r="L6">
        <v>1</v>
      </c>
      <c r="M6">
        <v>79084.100000000006</v>
      </c>
      <c r="N6">
        <v>0</v>
      </c>
      <c r="O6">
        <v>0</v>
      </c>
      <c r="P6">
        <v>5</v>
      </c>
      <c r="Q6" t="s">
        <v>28</v>
      </c>
      <c r="R6">
        <v>425</v>
      </c>
      <c r="S6" t="str" cm="1">
        <f t="array" ref="S6">_xlfn.IFS(G6&lt;=10,"0-10",G6&lt;=20,"11-20",G6&lt;=30,"21-30",G6&lt;=40,"31-40",G6&gt;40,"41+")</f>
        <v>41+</v>
      </c>
    </row>
    <row r="7" spans="1:19" x14ac:dyDescent="0.25">
      <c r="A7">
        <v>6</v>
      </c>
      <c r="B7">
        <v>15574012</v>
      </c>
      <c r="C7" t="s">
        <v>30</v>
      </c>
      <c r="D7">
        <v>645</v>
      </c>
      <c r="E7" t="s">
        <v>8</v>
      </c>
      <c r="F7" t="s">
        <v>4</v>
      </c>
      <c r="G7">
        <v>44</v>
      </c>
      <c r="H7">
        <v>8</v>
      </c>
      <c r="I7">
        <v>113755.78</v>
      </c>
      <c r="J7">
        <v>2</v>
      </c>
      <c r="K7">
        <v>1</v>
      </c>
      <c r="L7">
        <v>0</v>
      </c>
      <c r="M7">
        <v>149756.71</v>
      </c>
      <c r="N7">
        <v>1</v>
      </c>
      <c r="O7">
        <v>1</v>
      </c>
      <c r="P7">
        <v>5</v>
      </c>
      <c r="Q7" t="s">
        <v>24</v>
      </c>
      <c r="R7">
        <v>484</v>
      </c>
      <c r="S7" t="str" cm="1">
        <f t="array" ref="S7">_xlfn.IFS(G7&lt;=10,"0-10",G7&lt;=20,"11-20",G7&lt;=30,"21-30",G7&lt;=40,"31-40",G7&gt;40,"41+")</f>
        <v>41+</v>
      </c>
    </row>
    <row r="8" spans="1:19" x14ac:dyDescent="0.25">
      <c r="A8">
        <v>7</v>
      </c>
      <c r="B8">
        <v>15592531</v>
      </c>
      <c r="C8" t="s">
        <v>31</v>
      </c>
      <c r="D8">
        <v>822</v>
      </c>
      <c r="E8" t="s">
        <v>7</v>
      </c>
      <c r="F8" t="s">
        <v>4</v>
      </c>
      <c r="G8">
        <v>50</v>
      </c>
      <c r="H8">
        <v>7</v>
      </c>
      <c r="I8">
        <v>0</v>
      </c>
      <c r="J8">
        <v>2</v>
      </c>
      <c r="K8">
        <v>1</v>
      </c>
      <c r="L8">
        <v>1</v>
      </c>
      <c r="M8">
        <v>10062.799999999999</v>
      </c>
      <c r="N8">
        <v>0</v>
      </c>
      <c r="O8">
        <v>0</v>
      </c>
      <c r="P8">
        <v>2</v>
      </c>
      <c r="Q8" t="s">
        <v>32</v>
      </c>
      <c r="R8">
        <v>206</v>
      </c>
      <c r="S8" t="str" cm="1">
        <f t="array" ref="S8">_xlfn.IFS(G8&lt;=10,"0-10",G8&lt;=20,"11-20",G8&lt;=30,"21-30",G8&lt;=40,"31-40",G8&gt;40,"41+")</f>
        <v>41+</v>
      </c>
    </row>
    <row r="9" spans="1:19" x14ac:dyDescent="0.25">
      <c r="A9">
        <v>8</v>
      </c>
      <c r="B9">
        <v>15656148</v>
      </c>
      <c r="C9" t="s">
        <v>33</v>
      </c>
      <c r="D9">
        <v>376</v>
      </c>
      <c r="E9" t="s">
        <v>9</v>
      </c>
      <c r="F9" t="s">
        <v>3</v>
      </c>
      <c r="G9">
        <v>29</v>
      </c>
      <c r="H9">
        <v>4</v>
      </c>
      <c r="I9">
        <v>115046.74</v>
      </c>
      <c r="J9">
        <v>4</v>
      </c>
      <c r="K9">
        <v>1</v>
      </c>
      <c r="L9">
        <v>0</v>
      </c>
      <c r="M9">
        <v>119346.88</v>
      </c>
      <c r="N9">
        <v>1</v>
      </c>
      <c r="O9">
        <v>1</v>
      </c>
      <c r="P9">
        <v>2</v>
      </c>
      <c r="Q9" t="s">
        <v>24</v>
      </c>
      <c r="R9">
        <v>282</v>
      </c>
      <c r="S9" t="str" cm="1">
        <f t="array" ref="S9">_xlfn.IFS(G9&lt;=10,"0-10",G9&lt;=20,"11-20",G9&lt;=30,"21-30",G9&lt;=40,"31-40",G9&gt;40,"41+")</f>
        <v>21-30</v>
      </c>
    </row>
    <row r="10" spans="1:19" x14ac:dyDescent="0.25">
      <c r="A10">
        <v>9</v>
      </c>
      <c r="B10">
        <v>15792365</v>
      </c>
      <c r="C10" t="s">
        <v>34</v>
      </c>
      <c r="D10">
        <v>501</v>
      </c>
      <c r="E10" t="s">
        <v>7</v>
      </c>
      <c r="F10" t="s">
        <v>4</v>
      </c>
      <c r="G10">
        <v>44</v>
      </c>
      <c r="H10">
        <v>4</v>
      </c>
      <c r="I10">
        <v>142051.07</v>
      </c>
      <c r="J10">
        <v>2</v>
      </c>
      <c r="K10">
        <v>0</v>
      </c>
      <c r="L10">
        <v>1</v>
      </c>
      <c r="M10">
        <v>74940.5</v>
      </c>
      <c r="N10">
        <v>0</v>
      </c>
      <c r="O10">
        <v>0</v>
      </c>
      <c r="P10">
        <v>3</v>
      </c>
      <c r="Q10" t="s">
        <v>28</v>
      </c>
      <c r="R10">
        <v>251</v>
      </c>
      <c r="S10" t="str" cm="1">
        <f t="array" ref="S10">_xlfn.IFS(G10&lt;=10,"0-10",G10&lt;=20,"11-20",G10&lt;=30,"21-30",G10&lt;=40,"31-40",G10&gt;40,"41+")</f>
        <v>41+</v>
      </c>
    </row>
    <row r="11" spans="1:19" x14ac:dyDescent="0.25">
      <c r="A11">
        <v>10</v>
      </c>
      <c r="B11">
        <v>15592389</v>
      </c>
      <c r="C11" t="s">
        <v>35</v>
      </c>
      <c r="D11">
        <v>684</v>
      </c>
      <c r="E11" t="s">
        <v>7</v>
      </c>
      <c r="F11" t="s">
        <v>4</v>
      </c>
      <c r="G11">
        <v>27</v>
      </c>
      <c r="H11">
        <v>2</v>
      </c>
      <c r="I11">
        <v>134603.88</v>
      </c>
      <c r="J11">
        <v>1</v>
      </c>
      <c r="K11">
        <v>1</v>
      </c>
      <c r="L11">
        <v>1</v>
      </c>
      <c r="M11">
        <v>71725.73</v>
      </c>
      <c r="N11">
        <v>0</v>
      </c>
      <c r="O11">
        <v>0</v>
      </c>
      <c r="P11">
        <v>3</v>
      </c>
      <c r="Q11" t="s">
        <v>28</v>
      </c>
      <c r="R11">
        <v>342</v>
      </c>
      <c r="S11" t="str" cm="1">
        <f t="array" ref="S11">_xlfn.IFS(G11&lt;=10,"0-10",G11&lt;=20,"11-20",G11&lt;=30,"21-30",G11&lt;=40,"31-40",G11&gt;40,"41+")</f>
        <v>21-30</v>
      </c>
    </row>
    <row r="12" spans="1:19" x14ac:dyDescent="0.25">
      <c r="A12">
        <v>11</v>
      </c>
      <c r="B12">
        <v>15767821</v>
      </c>
      <c r="C12" t="s">
        <v>36</v>
      </c>
      <c r="D12">
        <v>528</v>
      </c>
      <c r="E12" t="s">
        <v>7</v>
      </c>
      <c r="F12" t="s">
        <v>4</v>
      </c>
      <c r="G12">
        <v>31</v>
      </c>
      <c r="H12">
        <v>6</v>
      </c>
      <c r="I12">
        <v>102016.72</v>
      </c>
      <c r="J12">
        <v>2</v>
      </c>
      <c r="K12">
        <v>0</v>
      </c>
      <c r="L12">
        <v>0</v>
      </c>
      <c r="M12">
        <v>80181.119999999995</v>
      </c>
      <c r="N12">
        <v>0</v>
      </c>
      <c r="O12">
        <v>0</v>
      </c>
      <c r="P12">
        <v>3</v>
      </c>
      <c r="Q12" t="s">
        <v>28</v>
      </c>
      <c r="R12">
        <v>264</v>
      </c>
      <c r="S12" t="str" cm="1">
        <f t="array" ref="S12">_xlfn.IFS(G12&lt;=10,"0-10",G12&lt;=20,"11-20",G12&lt;=30,"21-30",G12&lt;=40,"31-40",G12&gt;40,"41+")</f>
        <v>31-40</v>
      </c>
    </row>
    <row r="13" spans="1:19" x14ac:dyDescent="0.25">
      <c r="A13">
        <v>12</v>
      </c>
      <c r="B13">
        <v>15737173</v>
      </c>
      <c r="C13" t="s">
        <v>37</v>
      </c>
      <c r="D13">
        <v>497</v>
      </c>
      <c r="E13" t="s">
        <v>8</v>
      </c>
      <c r="F13" t="s">
        <v>4</v>
      </c>
      <c r="G13">
        <v>24</v>
      </c>
      <c r="H13">
        <v>3</v>
      </c>
      <c r="I13">
        <v>0</v>
      </c>
      <c r="J13">
        <v>2</v>
      </c>
      <c r="K13">
        <v>1</v>
      </c>
      <c r="L13">
        <v>0</v>
      </c>
      <c r="M13">
        <v>76390.009999999995</v>
      </c>
      <c r="N13">
        <v>0</v>
      </c>
      <c r="O13">
        <v>0</v>
      </c>
      <c r="P13">
        <v>3</v>
      </c>
      <c r="Q13" t="s">
        <v>28</v>
      </c>
      <c r="R13">
        <v>249</v>
      </c>
      <c r="S13" t="str" cm="1">
        <f t="array" ref="S13">_xlfn.IFS(G13&lt;=10,"0-10",G13&lt;=20,"11-20",G13&lt;=30,"21-30",G13&lt;=40,"31-40",G13&gt;40,"41+")</f>
        <v>21-30</v>
      </c>
    </row>
    <row r="14" spans="1:19" x14ac:dyDescent="0.25">
      <c r="A14">
        <v>13</v>
      </c>
      <c r="B14">
        <v>15632264</v>
      </c>
      <c r="C14" t="s">
        <v>38</v>
      </c>
      <c r="D14">
        <v>476</v>
      </c>
      <c r="E14" t="s">
        <v>7</v>
      </c>
      <c r="F14" t="s">
        <v>3</v>
      </c>
      <c r="G14">
        <v>34</v>
      </c>
      <c r="H14">
        <v>10</v>
      </c>
      <c r="I14">
        <v>0</v>
      </c>
      <c r="J14">
        <v>2</v>
      </c>
      <c r="K14">
        <v>1</v>
      </c>
      <c r="L14">
        <v>0</v>
      </c>
      <c r="M14">
        <v>26260.98</v>
      </c>
      <c r="N14">
        <v>0</v>
      </c>
      <c r="O14">
        <v>0</v>
      </c>
      <c r="P14">
        <v>3</v>
      </c>
      <c r="Q14" t="s">
        <v>32</v>
      </c>
      <c r="R14">
        <v>119</v>
      </c>
      <c r="S14" t="str" cm="1">
        <f t="array" ref="S14">_xlfn.IFS(G14&lt;=10,"0-10",G14&lt;=20,"11-20",G14&lt;=30,"21-30",G14&lt;=40,"31-40",G14&gt;40,"41+")</f>
        <v>31-40</v>
      </c>
    </row>
    <row r="15" spans="1:19" x14ac:dyDescent="0.25">
      <c r="A15">
        <v>14</v>
      </c>
      <c r="B15">
        <v>15691483</v>
      </c>
      <c r="C15" t="s">
        <v>39</v>
      </c>
      <c r="D15">
        <v>549</v>
      </c>
      <c r="E15" t="s">
        <v>7</v>
      </c>
      <c r="F15" t="s">
        <v>3</v>
      </c>
      <c r="G15">
        <v>25</v>
      </c>
      <c r="H15">
        <v>5</v>
      </c>
      <c r="I15">
        <v>0</v>
      </c>
      <c r="J15">
        <v>2</v>
      </c>
      <c r="K15">
        <v>0</v>
      </c>
      <c r="L15">
        <v>0</v>
      </c>
      <c r="M15">
        <v>190857.79</v>
      </c>
      <c r="N15">
        <v>0</v>
      </c>
      <c r="O15">
        <v>0</v>
      </c>
      <c r="P15">
        <v>3</v>
      </c>
      <c r="Q15" t="s">
        <v>40</v>
      </c>
      <c r="R15">
        <v>549</v>
      </c>
      <c r="S15" t="str" cm="1">
        <f t="array" ref="S15">_xlfn.IFS(G15&lt;=10,"0-10",G15&lt;=20,"11-20",G15&lt;=30,"21-30",G15&lt;=40,"31-40",G15&gt;40,"41+")</f>
        <v>21-30</v>
      </c>
    </row>
    <row r="16" spans="1:19" x14ac:dyDescent="0.25">
      <c r="A16">
        <v>15</v>
      </c>
      <c r="B16">
        <v>15600882</v>
      </c>
      <c r="C16" t="s">
        <v>41</v>
      </c>
      <c r="D16">
        <v>635</v>
      </c>
      <c r="E16" t="s">
        <v>8</v>
      </c>
      <c r="F16" t="s">
        <v>3</v>
      </c>
      <c r="G16">
        <v>35</v>
      </c>
      <c r="H16">
        <v>7</v>
      </c>
      <c r="I16">
        <v>0</v>
      </c>
      <c r="J16">
        <v>2</v>
      </c>
      <c r="K16">
        <v>1</v>
      </c>
      <c r="L16">
        <v>1</v>
      </c>
      <c r="M16">
        <v>65951.649999999994</v>
      </c>
      <c r="N16">
        <v>0</v>
      </c>
      <c r="O16">
        <v>0</v>
      </c>
      <c r="P16">
        <v>2</v>
      </c>
      <c r="Q16" t="s">
        <v>28</v>
      </c>
      <c r="R16">
        <v>318</v>
      </c>
      <c r="S16" t="str" cm="1">
        <f t="array" ref="S16">_xlfn.IFS(G16&lt;=10,"0-10",G16&lt;=20,"11-20",G16&lt;=30,"21-30",G16&lt;=40,"31-40",G16&gt;40,"41+")</f>
        <v>31-40</v>
      </c>
    </row>
    <row r="17" spans="1:19" x14ac:dyDescent="0.25">
      <c r="A17">
        <v>16</v>
      </c>
      <c r="B17">
        <v>15643966</v>
      </c>
      <c r="C17" t="s">
        <v>42</v>
      </c>
      <c r="D17">
        <v>616</v>
      </c>
      <c r="E17" t="s">
        <v>9</v>
      </c>
      <c r="F17" t="s">
        <v>4</v>
      </c>
      <c r="G17">
        <v>45</v>
      </c>
      <c r="H17">
        <v>3</v>
      </c>
      <c r="I17">
        <v>143129.41</v>
      </c>
      <c r="J17">
        <v>2</v>
      </c>
      <c r="K17">
        <v>0</v>
      </c>
      <c r="L17">
        <v>1</v>
      </c>
      <c r="M17">
        <v>64327.26</v>
      </c>
      <c r="N17">
        <v>0</v>
      </c>
      <c r="O17">
        <v>0</v>
      </c>
      <c r="P17">
        <v>5</v>
      </c>
      <c r="Q17" t="s">
        <v>28</v>
      </c>
      <c r="R17">
        <v>308</v>
      </c>
      <c r="S17" t="str" cm="1">
        <f t="array" ref="S17">_xlfn.IFS(G17&lt;=10,"0-10",G17&lt;=20,"11-20",G17&lt;=30,"21-30",G17&lt;=40,"31-40",G17&gt;40,"41+")</f>
        <v>41+</v>
      </c>
    </row>
    <row r="18" spans="1:19" x14ac:dyDescent="0.25">
      <c r="A18">
        <v>17</v>
      </c>
      <c r="B18">
        <v>15737452</v>
      </c>
      <c r="C18" t="s">
        <v>43</v>
      </c>
      <c r="D18">
        <v>653</v>
      </c>
      <c r="E18" t="s">
        <v>9</v>
      </c>
      <c r="F18" t="s">
        <v>4</v>
      </c>
      <c r="G18">
        <v>58</v>
      </c>
      <c r="H18">
        <v>1</v>
      </c>
      <c r="I18">
        <v>132602.88</v>
      </c>
      <c r="J18">
        <v>1</v>
      </c>
      <c r="K18">
        <v>1</v>
      </c>
      <c r="L18">
        <v>0</v>
      </c>
      <c r="M18">
        <v>5097.67</v>
      </c>
      <c r="N18">
        <v>1</v>
      </c>
      <c r="O18">
        <v>0</v>
      </c>
      <c r="P18">
        <v>2</v>
      </c>
      <c r="Q18" t="s">
        <v>32</v>
      </c>
      <c r="R18">
        <v>163</v>
      </c>
      <c r="S18" t="str" cm="1">
        <f t="array" ref="S18">_xlfn.IFS(G18&lt;=10,"0-10",G18&lt;=20,"11-20",G18&lt;=30,"21-30",G18&lt;=40,"31-40",G18&gt;40,"41+")</f>
        <v>41+</v>
      </c>
    </row>
    <row r="19" spans="1:19" x14ac:dyDescent="0.25">
      <c r="A19">
        <v>18</v>
      </c>
      <c r="B19">
        <v>15788218</v>
      </c>
      <c r="C19" t="s">
        <v>44</v>
      </c>
      <c r="D19">
        <v>549</v>
      </c>
      <c r="E19" t="s">
        <v>8</v>
      </c>
      <c r="F19" t="s">
        <v>3</v>
      </c>
      <c r="G19">
        <v>24</v>
      </c>
      <c r="H19">
        <v>9</v>
      </c>
      <c r="I19">
        <v>0</v>
      </c>
      <c r="J19">
        <v>2</v>
      </c>
      <c r="K19">
        <v>1</v>
      </c>
      <c r="L19">
        <v>1</v>
      </c>
      <c r="M19">
        <v>14406.41</v>
      </c>
      <c r="N19">
        <v>0</v>
      </c>
      <c r="O19">
        <v>0</v>
      </c>
      <c r="P19">
        <v>3</v>
      </c>
      <c r="Q19" t="s">
        <v>32</v>
      </c>
      <c r="R19">
        <v>544</v>
      </c>
      <c r="S19" t="str" cm="1">
        <f t="array" ref="S19">_xlfn.IFS(G19&lt;=10,"0-10",G19&lt;=20,"11-20",G19&lt;=30,"21-30",G19&lt;=40,"31-40",G19&gt;40,"41+")</f>
        <v>21-30</v>
      </c>
    </row>
    <row r="20" spans="1:19" x14ac:dyDescent="0.25">
      <c r="A20">
        <v>19</v>
      </c>
      <c r="B20">
        <v>15661507</v>
      </c>
      <c r="C20" t="s">
        <v>45</v>
      </c>
      <c r="D20">
        <v>587</v>
      </c>
      <c r="E20" t="s">
        <v>8</v>
      </c>
      <c r="F20" t="s">
        <v>4</v>
      </c>
      <c r="G20">
        <v>45</v>
      </c>
      <c r="H20">
        <v>6</v>
      </c>
      <c r="I20">
        <v>0</v>
      </c>
      <c r="J20">
        <v>1</v>
      </c>
      <c r="K20">
        <v>0</v>
      </c>
      <c r="L20">
        <v>0</v>
      </c>
      <c r="M20">
        <v>158684.81</v>
      </c>
      <c r="N20">
        <v>0</v>
      </c>
      <c r="O20">
        <v>0</v>
      </c>
      <c r="P20">
        <v>3</v>
      </c>
      <c r="Q20" t="s">
        <v>40</v>
      </c>
      <c r="R20">
        <v>732</v>
      </c>
      <c r="S20" t="str" cm="1">
        <f t="array" ref="S20">_xlfn.IFS(G20&lt;=10,"0-10",G20&lt;=20,"11-20",G20&lt;=30,"21-30",G20&lt;=40,"31-40",G20&gt;40,"41+")</f>
        <v>41+</v>
      </c>
    </row>
    <row r="21" spans="1:19" x14ac:dyDescent="0.25">
      <c r="A21">
        <v>20</v>
      </c>
      <c r="B21">
        <v>15568982</v>
      </c>
      <c r="C21" t="s">
        <v>46</v>
      </c>
      <c r="D21">
        <v>726</v>
      </c>
      <c r="E21" t="s">
        <v>7</v>
      </c>
      <c r="F21" t="s">
        <v>3</v>
      </c>
      <c r="G21">
        <v>24</v>
      </c>
      <c r="H21">
        <v>6</v>
      </c>
      <c r="I21">
        <v>0</v>
      </c>
      <c r="J21">
        <v>2</v>
      </c>
      <c r="K21">
        <v>1</v>
      </c>
      <c r="L21">
        <v>1</v>
      </c>
      <c r="M21">
        <v>54724.03</v>
      </c>
      <c r="N21">
        <v>0</v>
      </c>
      <c r="O21">
        <v>0</v>
      </c>
      <c r="P21">
        <v>4</v>
      </c>
      <c r="Q21" t="s">
        <v>28</v>
      </c>
      <c r="R21">
        <v>477</v>
      </c>
      <c r="S21" t="str" cm="1">
        <f t="array" ref="S21">_xlfn.IFS(G21&lt;=10,"0-10",G21&lt;=20,"11-20",G21&lt;=30,"21-30",G21&lt;=40,"31-40",G21&gt;40,"41+")</f>
        <v>21-30</v>
      </c>
    </row>
    <row r="22" spans="1:19" x14ac:dyDescent="0.25">
      <c r="A22">
        <v>21</v>
      </c>
      <c r="B22">
        <v>15577657</v>
      </c>
      <c r="C22" t="s">
        <v>47</v>
      </c>
      <c r="D22">
        <v>732</v>
      </c>
      <c r="E22" t="s">
        <v>7</v>
      </c>
      <c r="F22" t="s">
        <v>4</v>
      </c>
      <c r="G22">
        <v>41</v>
      </c>
      <c r="H22">
        <v>8</v>
      </c>
      <c r="I22">
        <v>0</v>
      </c>
      <c r="J22">
        <v>2</v>
      </c>
      <c r="K22">
        <v>1</v>
      </c>
      <c r="L22">
        <v>1</v>
      </c>
      <c r="M22">
        <v>170886.17</v>
      </c>
      <c r="N22">
        <v>0</v>
      </c>
      <c r="O22">
        <v>0</v>
      </c>
      <c r="P22">
        <v>3</v>
      </c>
      <c r="Q22" t="s">
        <v>40</v>
      </c>
      <c r="R22">
        <v>568</v>
      </c>
      <c r="S22" t="str" cm="1">
        <f t="array" ref="S22">_xlfn.IFS(G22&lt;=10,"0-10",G22&lt;=20,"11-20",G22&lt;=30,"21-30",G22&lt;=40,"31-40",G22&gt;40,"41+")</f>
        <v>41+</v>
      </c>
    </row>
    <row r="23" spans="1:19" x14ac:dyDescent="0.25">
      <c r="A23">
        <v>22</v>
      </c>
      <c r="B23">
        <v>15597945</v>
      </c>
      <c r="C23" t="s">
        <v>48</v>
      </c>
      <c r="D23">
        <v>636</v>
      </c>
      <c r="E23" t="s">
        <v>8</v>
      </c>
      <c r="F23" t="s">
        <v>3</v>
      </c>
      <c r="G23">
        <v>32</v>
      </c>
      <c r="H23">
        <v>8</v>
      </c>
      <c r="I23">
        <v>0</v>
      </c>
      <c r="J23">
        <v>2</v>
      </c>
      <c r="K23">
        <v>1</v>
      </c>
      <c r="L23">
        <v>0</v>
      </c>
      <c r="M23">
        <v>138555.46</v>
      </c>
      <c r="N23">
        <v>0</v>
      </c>
      <c r="O23">
        <v>0</v>
      </c>
      <c r="P23">
        <v>2</v>
      </c>
      <c r="Q23" t="s">
        <v>24</v>
      </c>
      <c r="R23">
        <v>336</v>
      </c>
      <c r="S23" t="str" cm="1">
        <f t="array" ref="S23">_xlfn.IFS(G23&lt;=10,"0-10",G23&lt;=20,"11-20",G23&lt;=30,"21-30",G23&lt;=40,"31-40",G23&gt;40,"41+")</f>
        <v>31-40</v>
      </c>
    </row>
    <row r="24" spans="1:19" x14ac:dyDescent="0.25">
      <c r="A24">
        <v>23</v>
      </c>
      <c r="B24">
        <v>15699309</v>
      </c>
      <c r="C24" t="s">
        <v>49</v>
      </c>
      <c r="D24">
        <v>510</v>
      </c>
      <c r="E24" t="s">
        <v>8</v>
      </c>
      <c r="F24" t="s">
        <v>3</v>
      </c>
      <c r="G24">
        <v>38</v>
      </c>
      <c r="H24">
        <v>4</v>
      </c>
      <c r="I24">
        <v>0</v>
      </c>
      <c r="J24">
        <v>1</v>
      </c>
      <c r="K24">
        <v>1</v>
      </c>
      <c r="L24">
        <v>0</v>
      </c>
      <c r="M24">
        <v>118913.53</v>
      </c>
      <c r="N24">
        <v>1</v>
      </c>
      <c r="O24">
        <v>1</v>
      </c>
      <c r="P24">
        <v>2</v>
      </c>
      <c r="Q24" t="s">
        <v>24</v>
      </c>
      <c r="R24">
        <v>887</v>
      </c>
      <c r="S24" t="str" cm="1">
        <f t="array" ref="S24">_xlfn.IFS(G24&lt;=10,"0-10",G24&lt;=20,"11-20",G24&lt;=30,"21-30",G24&lt;=40,"31-40",G24&gt;40,"41+")</f>
        <v>31-40</v>
      </c>
    </row>
    <row r="25" spans="1:19" x14ac:dyDescent="0.25">
      <c r="A25">
        <v>24</v>
      </c>
      <c r="B25">
        <v>15725737</v>
      </c>
      <c r="C25" t="s">
        <v>50</v>
      </c>
      <c r="D25">
        <v>669</v>
      </c>
      <c r="E25" t="s">
        <v>7</v>
      </c>
      <c r="F25" t="s">
        <v>4</v>
      </c>
      <c r="G25">
        <v>46</v>
      </c>
      <c r="H25">
        <v>3</v>
      </c>
      <c r="I25">
        <v>0</v>
      </c>
      <c r="J25">
        <v>2</v>
      </c>
      <c r="K25">
        <v>0</v>
      </c>
      <c r="L25">
        <v>1</v>
      </c>
      <c r="M25">
        <v>8487.75</v>
      </c>
      <c r="N25">
        <v>0</v>
      </c>
      <c r="O25">
        <v>0</v>
      </c>
      <c r="P25">
        <v>2</v>
      </c>
      <c r="Q25" t="s">
        <v>32</v>
      </c>
      <c r="R25">
        <v>665</v>
      </c>
      <c r="S25" t="str" cm="1">
        <f t="array" ref="S25">_xlfn.IFS(G25&lt;=10,"0-10",G25&lt;=20,"11-20",G25&lt;=30,"21-30",G25&lt;=40,"31-40",G25&gt;40,"41+")</f>
        <v>41+</v>
      </c>
    </row>
    <row r="26" spans="1:19" x14ac:dyDescent="0.25">
      <c r="A26">
        <v>25</v>
      </c>
      <c r="B26">
        <v>15625047</v>
      </c>
      <c r="C26" t="s">
        <v>51</v>
      </c>
      <c r="D26">
        <v>846</v>
      </c>
      <c r="E26" t="s">
        <v>7</v>
      </c>
      <c r="F26" t="s">
        <v>3</v>
      </c>
      <c r="G26">
        <v>38</v>
      </c>
      <c r="H26">
        <v>5</v>
      </c>
      <c r="I26">
        <v>0</v>
      </c>
      <c r="J26">
        <v>1</v>
      </c>
      <c r="K26">
        <v>1</v>
      </c>
      <c r="L26">
        <v>1</v>
      </c>
      <c r="M26">
        <v>187616.16</v>
      </c>
      <c r="N26">
        <v>0</v>
      </c>
      <c r="O26">
        <v>0</v>
      </c>
      <c r="P26">
        <v>3</v>
      </c>
      <c r="Q26" t="s">
        <v>40</v>
      </c>
      <c r="R26">
        <v>225</v>
      </c>
      <c r="S26" t="str" cm="1">
        <f t="array" ref="S26">_xlfn.IFS(G26&lt;=10,"0-10",G26&lt;=20,"11-20",G26&lt;=30,"21-30",G26&lt;=40,"31-40",G26&gt;40,"41+")</f>
        <v>31-40</v>
      </c>
    </row>
    <row r="27" spans="1:19" x14ac:dyDescent="0.25">
      <c r="A27">
        <v>26</v>
      </c>
      <c r="B27">
        <v>15738191</v>
      </c>
      <c r="C27" t="s">
        <v>52</v>
      </c>
      <c r="D27">
        <v>577</v>
      </c>
      <c r="E27" t="s">
        <v>7</v>
      </c>
      <c r="F27" t="s">
        <v>4</v>
      </c>
      <c r="G27">
        <v>25</v>
      </c>
      <c r="H27">
        <v>3</v>
      </c>
      <c r="I27">
        <v>0</v>
      </c>
      <c r="J27">
        <v>2</v>
      </c>
      <c r="K27">
        <v>0</v>
      </c>
      <c r="L27">
        <v>1</v>
      </c>
      <c r="M27">
        <v>124508.29</v>
      </c>
      <c r="N27">
        <v>0</v>
      </c>
      <c r="O27">
        <v>0</v>
      </c>
      <c r="P27">
        <v>3</v>
      </c>
      <c r="Q27" t="s">
        <v>40</v>
      </c>
      <c r="R27">
        <v>659</v>
      </c>
      <c r="S27" t="str" cm="1">
        <f t="array" ref="S27">_xlfn.IFS(G27&lt;=10,"0-10",G27&lt;=20,"11-20",G27&lt;=30,"21-30",G27&lt;=40,"31-40",G27&gt;40,"41+")</f>
        <v>21-30</v>
      </c>
    </row>
    <row r="28" spans="1:19" x14ac:dyDescent="0.25">
      <c r="A28">
        <v>27</v>
      </c>
      <c r="B28">
        <v>15736816</v>
      </c>
      <c r="C28" t="s">
        <v>53</v>
      </c>
      <c r="D28">
        <v>756</v>
      </c>
      <c r="E28" t="s">
        <v>9</v>
      </c>
      <c r="F28" t="s">
        <v>4</v>
      </c>
      <c r="G28">
        <v>36</v>
      </c>
      <c r="H28">
        <v>2</v>
      </c>
      <c r="I28">
        <v>136815.64000000001</v>
      </c>
      <c r="J28">
        <v>1</v>
      </c>
      <c r="K28">
        <v>1</v>
      </c>
      <c r="L28">
        <v>1</v>
      </c>
      <c r="M28">
        <v>170041.95</v>
      </c>
      <c r="N28">
        <v>0</v>
      </c>
      <c r="O28">
        <v>0</v>
      </c>
      <c r="P28">
        <v>5</v>
      </c>
      <c r="Q28" t="s">
        <v>24</v>
      </c>
      <c r="R28">
        <v>236</v>
      </c>
      <c r="S28" t="str" cm="1">
        <f t="array" ref="S28">_xlfn.IFS(G28&lt;=10,"0-10",G28&lt;=20,"11-20",G28&lt;=30,"21-30",G28&lt;=40,"31-40",G28&gt;40,"41+")</f>
        <v>31-40</v>
      </c>
    </row>
    <row r="29" spans="1:19" x14ac:dyDescent="0.25">
      <c r="A29">
        <v>28</v>
      </c>
      <c r="B29">
        <v>15700772</v>
      </c>
      <c r="C29" t="s">
        <v>54</v>
      </c>
      <c r="D29">
        <v>571</v>
      </c>
      <c r="E29" t="s">
        <v>7</v>
      </c>
      <c r="F29" t="s">
        <v>4</v>
      </c>
      <c r="G29">
        <v>44</v>
      </c>
      <c r="H29">
        <v>9</v>
      </c>
      <c r="I29">
        <v>0</v>
      </c>
      <c r="J29">
        <v>2</v>
      </c>
      <c r="K29">
        <v>0</v>
      </c>
      <c r="L29">
        <v>0</v>
      </c>
      <c r="M29">
        <v>38433.35</v>
      </c>
      <c r="N29">
        <v>0</v>
      </c>
      <c r="O29">
        <v>0</v>
      </c>
      <c r="P29">
        <v>4</v>
      </c>
      <c r="Q29" t="s">
        <v>40</v>
      </c>
      <c r="R29">
        <v>448</v>
      </c>
      <c r="S29" t="str" cm="1">
        <f t="array" ref="S29">_xlfn.IFS(G29&lt;=10,"0-10",G29&lt;=20,"11-20",G29&lt;=30,"21-30",G29&lt;=40,"31-40",G29&gt;40,"41+")</f>
        <v>41+</v>
      </c>
    </row>
    <row r="30" spans="1:19" x14ac:dyDescent="0.25">
      <c r="A30">
        <v>29</v>
      </c>
      <c r="B30">
        <v>15728693</v>
      </c>
      <c r="C30" t="s">
        <v>55</v>
      </c>
      <c r="D30">
        <v>574</v>
      </c>
      <c r="E30" t="s">
        <v>9</v>
      </c>
      <c r="F30" t="s">
        <v>3</v>
      </c>
      <c r="G30">
        <v>43</v>
      </c>
      <c r="H30">
        <v>3</v>
      </c>
      <c r="I30">
        <v>141349.43</v>
      </c>
      <c r="J30">
        <v>1</v>
      </c>
      <c r="K30">
        <v>1</v>
      </c>
      <c r="L30">
        <v>1</v>
      </c>
      <c r="M30">
        <v>100187.43</v>
      </c>
      <c r="N30">
        <v>0</v>
      </c>
      <c r="O30">
        <v>0</v>
      </c>
      <c r="P30">
        <v>5</v>
      </c>
      <c r="Q30" t="s">
        <v>24</v>
      </c>
      <c r="R30">
        <v>499</v>
      </c>
      <c r="S30" t="str" cm="1">
        <f t="array" ref="S30">_xlfn.IFS(G30&lt;=10,"0-10",G30&lt;=20,"11-20",G30&lt;=30,"21-30",G30&lt;=40,"31-40",G30&gt;40,"41+")</f>
        <v>41+</v>
      </c>
    </row>
  </sheetData>
  <pageMargins left="0.7" right="0.7" top="0.75" bottom="0.75" header="0.3" footer="0.3"/>
  <ignoredErrors>
    <ignoredError sqref="S2"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613D-13EB-48F7-B486-55E8BDDD74EB}">
  <dimension ref="A3:B8"/>
  <sheetViews>
    <sheetView workbookViewId="0">
      <selection activeCell="A5" sqref="A4:A7"/>
      <pivotSelection pane="bottomRight" showHeader="1" axis="axisRow" activeRow="4" previousRow="4" click="1" r:id="rId1">
        <pivotArea dataOnly="0" labelOnly="1" fieldPosition="0">
          <references count="1">
            <reference field="16" count="0"/>
          </references>
        </pivotArea>
      </pivotSelection>
    </sheetView>
  </sheetViews>
  <sheetFormatPr defaultRowHeight="15" x14ac:dyDescent="0.25"/>
  <cols>
    <col min="1" max="1" width="13.140625" bestFit="1" customWidth="1"/>
    <col min="2" max="2" width="14.5703125" bestFit="1" customWidth="1"/>
  </cols>
  <sheetData>
    <row r="3" spans="1:2" x14ac:dyDescent="0.25">
      <c r="A3" s="1" t="s">
        <v>56</v>
      </c>
      <c r="B3" t="s">
        <v>58</v>
      </c>
    </row>
    <row r="4" spans="1:2" x14ac:dyDescent="0.25">
      <c r="A4" s="2" t="s">
        <v>24</v>
      </c>
      <c r="B4" s="3">
        <v>750436.25</v>
      </c>
    </row>
    <row r="5" spans="1:2" x14ac:dyDescent="0.25">
      <c r="A5" s="2" t="s">
        <v>28</v>
      </c>
      <c r="B5" s="3">
        <v>647311.9</v>
      </c>
    </row>
    <row r="6" spans="1:2" x14ac:dyDescent="0.25">
      <c r="A6" s="2" t="s">
        <v>40</v>
      </c>
      <c r="B6" s="3">
        <v>0</v>
      </c>
    </row>
    <row r="7" spans="1:2" x14ac:dyDescent="0.25">
      <c r="A7" s="2" t="s">
        <v>32</v>
      </c>
      <c r="B7" s="3">
        <v>132602.88</v>
      </c>
    </row>
    <row r="8" spans="1:2" x14ac:dyDescent="0.25">
      <c r="A8" s="2" t="s">
        <v>57</v>
      </c>
      <c r="B8" s="3">
        <v>1530351.0299999998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Sheet12</vt:lpstr>
      <vt:lpstr>Sheet14</vt:lpstr>
      <vt:lpstr>Sheet1</vt:lpstr>
      <vt:lpstr>Sheet15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2026-06-06T05:50:42Z</dcterms:created>
  <dcterms:modified xsi:type="dcterms:W3CDTF">2026-06-06T10:29:29Z</dcterms:modified>
</cp:coreProperties>
</file>